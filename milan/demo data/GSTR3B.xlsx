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mi\Downloads\"/>
    </mc:Choice>
  </mc:AlternateContent>
  <xr:revisionPtr revIDLastSave="0" documentId="13_ncr:1_{1F46DEEC-4746-4E67-8B7D-60C7B0CDDC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 Report" sheetId="1" r:id="rId1"/>
  </sheets>
  <definedNames>
    <definedName name="challan_cess">'Summary Report'!$D$74:$O$74</definedName>
    <definedName name="challan_cgst">'Summary Report'!$D$72:$O$72</definedName>
    <definedName name="challan_igst">'Summary Report'!$D$71:$O$71</definedName>
    <definedName name="challan_sgst">'Summary Report'!$D$73:$O$73</definedName>
    <definedName name="closing_bal_itc_cess">'Summary Report'!$D$81:$O$81</definedName>
    <definedName name="closing_bal_itc_cgst">'Summary Report'!$D$79:$O$79</definedName>
    <definedName name="closing_bal_itc_igst">'Summary Report'!$D$78:$O$78</definedName>
    <definedName name="closing_bal_itc_sgst">'Summary Report'!$D$80:$O$80</definedName>
    <definedName name="intr_cess">'Summary Report'!$D$47:$O$47</definedName>
    <definedName name="intr_cgst">'Summary Report'!$D$45:$O$45</definedName>
    <definedName name="intr_igst">'Summary Report'!$D$44:$O$44</definedName>
    <definedName name="intr_sgst">'Summary Report'!$D$46:$O$46</definedName>
    <definedName name="inward_nil_gst">'Summary Report'!$D$15:$O$15</definedName>
    <definedName name="inward_nongst">'Summary Report'!$D$16:$O$16</definedName>
    <definedName name="itc_nonrev_cess">'Summary Report'!$D$61:$O$61</definedName>
    <definedName name="itc_nonrev_cgst">'Summary Report'!$D$59:$O$59</definedName>
    <definedName name="itc_nonrev_igst">'Summary Report'!$D$58:$O$58</definedName>
    <definedName name="itc_nonrev_sgst">'Summary Report'!$D$60:$O$60</definedName>
    <definedName name="itc_rev_cess">'Summary Report'!$D$66:$O$66</definedName>
    <definedName name="itc_rev_cgst">'Summary Report'!$D$64:$O$64</definedName>
    <definedName name="itc_rev_igst">'Summary Report'!$D$63:$O$63</definedName>
    <definedName name="itc_rev_sgst">'Summary Report'!$D$65:$O$65</definedName>
    <definedName name="ltfee_cess">'Summary Report'!$D$54:$O$54</definedName>
    <definedName name="ltfee_cgst">'Summary Report'!$D$52:$O$52</definedName>
    <definedName name="ltfee_igst">'Summary Report'!$D$51:$O$51</definedName>
    <definedName name="ltfee_sgst">'Summary Report'!$D$53:$O$53</definedName>
    <definedName name="opening_bal_itc_cess">'Summary Report'!$D$27:$O$27</definedName>
    <definedName name="opening_bal_itc_cgst">'Summary Report'!$D$25:$O$25</definedName>
    <definedName name="opening_bal_itc_igst">'Summary Report'!$D$24:$O$24</definedName>
    <definedName name="opening_bal_itc_sgst">'Summary Report'!$D$26:$O$26</definedName>
    <definedName name="sales_3.1a">'Summary Report'!$D$8:$O$8</definedName>
    <definedName name="sales_3.1b">'Summary Report'!$D$9:$O$9</definedName>
    <definedName name="sales_3.1c">'Summary Report'!$D$10:$O$10</definedName>
    <definedName name="sales_3.1d">'Summary Report'!$D$20:$O$20</definedName>
    <definedName name="sales_3.1e">'Summary Report'!$D$11:$O$11</definedName>
    <definedName name="summary_banner">'Summary Report'!$D$1:$P$1</definedName>
    <definedName name="tax_nonrev_cess">'Summary Report'!$D$34:$O$34</definedName>
    <definedName name="tax_nonrev_cgst">'Summary Report'!$D$32:$O$32</definedName>
    <definedName name="tax_nonrev_igst">'Summary Report'!$D$31:$O$31</definedName>
    <definedName name="tax_nonrev_sgst">'Summary Report'!$D$33:$O$33</definedName>
    <definedName name="tax_rev_cess">'Summary Report'!$D$39:$O$39</definedName>
    <definedName name="tax_rev_cgst">'Summary Report'!$D$37:$O$37</definedName>
    <definedName name="tax_rev_igst">'Summary Report'!$D$36:$O$36</definedName>
    <definedName name="tax_rev_sgst">'Summary Report'!$D$38:$O$38</definedName>
    <definedName name="tp_details">'Summary Report'!$A$1:$C$5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2" i="1" l="1"/>
  <c r="N82" i="1"/>
  <c r="M82" i="1"/>
  <c r="L82" i="1"/>
  <c r="K82" i="1"/>
  <c r="J82" i="1"/>
  <c r="I82" i="1"/>
  <c r="H82" i="1"/>
  <c r="G82" i="1"/>
  <c r="F82" i="1"/>
  <c r="E82" i="1"/>
  <c r="D82" i="1"/>
  <c r="O75" i="1"/>
  <c r="N75" i="1"/>
  <c r="M75" i="1"/>
  <c r="L75" i="1"/>
  <c r="K75" i="1"/>
  <c r="J75" i="1"/>
  <c r="I75" i="1"/>
  <c r="H75" i="1"/>
  <c r="G75" i="1"/>
  <c r="F75" i="1"/>
  <c r="E75" i="1"/>
  <c r="D75" i="1"/>
  <c r="P74" i="1"/>
  <c r="P73" i="1"/>
  <c r="P72" i="1"/>
  <c r="P71" i="1"/>
  <c r="P75" i="1" s="1"/>
  <c r="O68" i="1"/>
  <c r="I68" i="1"/>
  <c r="E68" i="1"/>
  <c r="O67" i="1"/>
  <c r="N67" i="1"/>
  <c r="M67" i="1"/>
  <c r="L67" i="1"/>
  <c r="K67" i="1"/>
  <c r="J67" i="1"/>
  <c r="I67" i="1"/>
  <c r="H67" i="1"/>
  <c r="G67" i="1"/>
  <c r="F67" i="1"/>
  <c r="E67" i="1"/>
  <c r="D67" i="1"/>
  <c r="P66" i="1"/>
  <c r="P65" i="1"/>
  <c r="P64" i="1"/>
  <c r="P63" i="1"/>
  <c r="P67" i="1" s="1"/>
  <c r="O62" i="1"/>
  <c r="N62" i="1"/>
  <c r="N68" i="1" s="1"/>
  <c r="M62" i="1"/>
  <c r="M68" i="1" s="1"/>
  <c r="L62" i="1"/>
  <c r="L68" i="1" s="1"/>
  <c r="K62" i="1"/>
  <c r="K68" i="1" s="1"/>
  <c r="J62" i="1"/>
  <c r="J68" i="1" s="1"/>
  <c r="I62" i="1"/>
  <c r="H62" i="1"/>
  <c r="H68" i="1" s="1"/>
  <c r="G62" i="1"/>
  <c r="G68" i="1" s="1"/>
  <c r="F62" i="1"/>
  <c r="F68" i="1" s="1"/>
  <c r="E62" i="1"/>
  <c r="D62" i="1"/>
  <c r="D68" i="1" s="1"/>
  <c r="P61" i="1"/>
  <c r="P60" i="1"/>
  <c r="P59" i="1"/>
  <c r="P58" i="1"/>
  <c r="P62" i="1" s="1"/>
  <c r="P54" i="1"/>
  <c r="P53" i="1"/>
  <c r="P52" i="1"/>
  <c r="P51" i="1"/>
  <c r="P55" i="1" s="1"/>
  <c r="P47" i="1"/>
  <c r="P46" i="1"/>
  <c r="P45" i="1"/>
  <c r="P48" i="1" s="1"/>
  <c r="P44" i="1"/>
  <c r="N41" i="1"/>
  <c r="H41" i="1"/>
  <c r="E41" i="1"/>
  <c r="O40" i="1"/>
  <c r="N40" i="1"/>
  <c r="M40" i="1"/>
  <c r="L40" i="1"/>
  <c r="K40" i="1"/>
  <c r="J40" i="1"/>
  <c r="I40" i="1"/>
  <c r="H40" i="1"/>
  <c r="G40" i="1"/>
  <c r="F40" i="1"/>
  <c r="E40" i="1"/>
  <c r="D40" i="1"/>
  <c r="P39" i="1"/>
  <c r="P38" i="1"/>
  <c r="P37" i="1"/>
  <c r="P36" i="1"/>
  <c r="P40" i="1" s="1"/>
  <c r="O35" i="1"/>
  <c r="O41" i="1" s="1"/>
  <c r="N35" i="1"/>
  <c r="M35" i="1"/>
  <c r="M41" i="1" s="1"/>
  <c r="L35" i="1"/>
  <c r="L41" i="1" s="1"/>
  <c r="K35" i="1"/>
  <c r="K41" i="1" s="1"/>
  <c r="J35" i="1"/>
  <c r="J41" i="1" s="1"/>
  <c r="I35" i="1"/>
  <c r="I41" i="1" s="1"/>
  <c r="H35" i="1"/>
  <c r="G35" i="1"/>
  <c r="G41" i="1" s="1"/>
  <c r="F35" i="1"/>
  <c r="F41" i="1" s="1"/>
  <c r="E35" i="1"/>
  <c r="D35" i="1"/>
  <c r="D41" i="1" s="1"/>
  <c r="P34" i="1"/>
  <c r="P33" i="1"/>
  <c r="P32" i="1"/>
  <c r="P31" i="1"/>
  <c r="P35" i="1" s="1"/>
  <c r="P41" i="1" s="1"/>
  <c r="O28" i="1"/>
  <c r="N28" i="1"/>
  <c r="M28" i="1"/>
  <c r="L28" i="1"/>
  <c r="K28" i="1"/>
  <c r="J28" i="1"/>
  <c r="I28" i="1"/>
  <c r="H28" i="1"/>
  <c r="G28" i="1"/>
  <c r="F28" i="1"/>
  <c r="E28" i="1"/>
  <c r="D28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P20" i="1"/>
  <c r="O17" i="1"/>
  <c r="N17" i="1"/>
  <c r="M17" i="1"/>
  <c r="L17" i="1"/>
  <c r="K17" i="1"/>
  <c r="J17" i="1"/>
  <c r="I17" i="1"/>
  <c r="H17" i="1"/>
  <c r="G17" i="1"/>
  <c r="F17" i="1"/>
  <c r="E17" i="1"/>
  <c r="D17" i="1"/>
  <c r="P16" i="1"/>
  <c r="P15" i="1"/>
  <c r="P17" i="1" s="1"/>
  <c r="O12" i="1"/>
  <c r="N12" i="1"/>
  <c r="M12" i="1"/>
  <c r="L12" i="1"/>
  <c r="K12" i="1"/>
  <c r="J12" i="1"/>
  <c r="I12" i="1"/>
  <c r="H12" i="1"/>
  <c r="G12" i="1"/>
  <c r="F12" i="1"/>
  <c r="E12" i="1"/>
  <c r="D12" i="1"/>
  <c r="P11" i="1"/>
  <c r="P10" i="1"/>
  <c r="P9" i="1"/>
  <c r="P8" i="1"/>
  <c r="P12" i="1" s="1"/>
  <c r="P68" i="1" l="1"/>
</calcChain>
</file>

<file path=xl/sharedStrings.xml><?xml version="1.0" encoding="utf-8"?>
<sst xmlns="http://schemas.openxmlformats.org/spreadsheetml/2006/main" count="88" uniqueCount="45">
  <si>
    <t>Section</t>
  </si>
  <si>
    <t>Particulars                                               Return Period -&gt;</t>
  </si>
  <si>
    <t xml:space="preserve">April 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</si>
  <si>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</si>
  <si>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</si>
  <si>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</si>
  <si>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</si>
  <si>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</si>
  <si>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</si>
  <si>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</si>
  <si>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</si>
  <si>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</si>
  <si>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</si>
  <si>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</si>
  <si>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</si>
  <si>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 xml:space="preserve">Sales Summary	</t>
  </si>
  <si>
    <t>3.1(a) - Outward taxable supplies (Other than zero rated, nil rated and exempted)</t>
  </si>
  <si>
    <t>3.1(b) - Outward taxable supplies (zero rated)</t>
  </si>
  <si>
    <t>3.1(c) - Other outward supplies (nil rated, exempted)</t>
  </si>
  <si>
    <t>3.1(e) - Non GST outward supplies</t>
  </si>
  <si>
    <t xml:space="preserve">Total </t>
  </si>
  <si>
    <t xml:space="preserve">Exempt Nil And Non-GST Inward Supplies
</t>
  </si>
  <si>
    <t>5 - From a supplier under composition scheme, exempt and nil rated supply</t>
  </si>
  <si>
    <t>5 - Non GST supply</t>
  </si>
  <si>
    <t>Purchase  Summary</t>
  </si>
  <si>
    <t>3.1(d) - Inward supplies (liable to reverse charge)</t>
  </si>
  <si>
    <t>Opening ITC Balance</t>
  </si>
  <si>
    <t>IGST</t>
  </si>
  <si>
    <t>CGST</t>
  </si>
  <si>
    <t>SGST</t>
  </si>
  <si>
    <t>Cess</t>
  </si>
  <si>
    <t>Tax Liability
(Non Reverse Charge)</t>
  </si>
  <si>
    <t>Tax Liability
(Reverse Charge)</t>
  </si>
  <si>
    <t>Tax Liability</t>
  </si>
  <si>
    <t>Total (Including Reverse Charge)</t>
  </si>
  <si>
    <t>System computed Interest</t>
  </si>
  <si>
    <t xml:space="preserve">IGST </t>
  </si>
  <si>
    <t>Late Fee</t>
  </si>
  <si>
    <t>Input Tax Credit
(Non Reverse Charge)</t>
  </si>
  <si>
    <t>Input Tax Credit (Reverse Charge)</t>
  </si>
  <si>
    <t>Input Tax Credit</t>
  </si>
  <si>
    <t>Cash Offset</t>
  </si>
  <si>
    <t>Closing ITC Balance</t>
  </si>
  <si>
    <t>GSTR-3B SUMMARY REPORT (2025-2026)</t>
  </si>
  <si>
    <t>Name: XYZ
GSTIN: 09AAMF********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</si>
</sst>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]#,##0.00"/>
  </numFmts>
  <fonts count="6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b/>
      <sz val="18"/>
      <color rgb="FF000000"/>
      <name val="Nunito"/>
    </font>
    <font>
      <sz val="11"/>
      <name val="Calibri"/>
    </font>
    <font>
      <sz val="11"/>
      <color theme="1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1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vertical="center"/>
    </xf>
    <xf numFmtId="164" fontId="1" fillId="0" borderId="9" xfId="0" applyNumberFormat="1" applyFont="1" applyBorder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164" fontId="4" fillId="0" borderId="13" xfId="0" applyNumberFormat="1" applyFont="1" applyBorder="1" applyAlignment="1">
      <alignment vertical="center"/>
    </xf>
    <xf numFmtId="164" fontId="4" fillId="3" borderId="15" xfId="0" applyNumberFormat="1" applyFont="1" applyFill="1" applyBorder="1" applyAlignment="1">
      <alignment vertical="center"/>
    </xf>
    <xf numFmtId="164" fontId="5" fillId="3" borderId="18" xfId="0" applyNumberFormat="1" applyFont="1" applyFill="1" applyBorder="1" applyAlignment="1">
      <alignment vertical="center"/>
    </xf>
    <xf numFmtId="164" fontId="5" fillId="3" borderId="22" xfId="0" applyNumberFormat="1" applyFont="1" applyFill="1" applyBorder="1" applyAlignment="1">
      <alignment vertical="center"/>
    </xf>
    <xf numFmtId="164" fontId="1" fillId="3" borderId="23" xfId="0" applyNumberFormat="1" applyFont="1" applyFill="1" applyBorder="1" applyAlignment="1">
      <alignment vertical="center"/>
    </xf>
    <xf numFmtId="164" fontId="5" fillId="3" borderId="27" xfId="0" applyNumberFormat="1" applyFont="1" applyFill="1" applyBorder="1" applyAlignment="1">
      <alignment vertical="center"/>
    </xf>
    <xf numFmtId="164" fontId="5" fillId="3" borderId="31" xfId="0" applyNumberFormat="1" applyFont="1" applyFill="1" applyBorder="1" applyAlignment="1">
      <alignment vertical="center"/>
    </xf>
    <xf numFmtId="164" fontId="1" fillId="3" borderId="32" xfId="0" applyNumberFormat="1" applyFont="1" applyFill="1" applyBorder="1" applyAlignment="1">
      <alignment vertical="center"/>
    </xf>
    <xf numFmtId="164" fontId="4" fillId="0" borderId="33" xfId="0" applyNumberFormat="1" applyFont="1" applyBorder="1" applyAlignment="1">
      <alignment vertical="center"/>
    </xf>
    <xf numFmtId="164" fontId="4" fillId="0" borderId="34" xfId="0" applyNumberFormat="1" applyFont="1" applyBorder="1" applyAlignment="1">
      <alignment vertical="center"/>
    </xf>
    <xf numFmtId="164" fontId="5" fillId="3" borderId="23" xfId="0" applyNumberFormat="1" applyFont="1" applyFill="1" applyBorder="1" applyAlignment="1">
      <alignment vertical="center"/>
    </xf>
    <xf numFmtId="164" fontId="1" fillId="0" borderId="36" xfId="0" applyNumberFormat="1" applyFont="1" applyBorder="1" applyAlignment="1">
      <alignment horizontal="left" vertical="center"/>
    </xf>
    <xf numFmtId="164" fontId="5" fillId="3" borderId="39" xfId="0" applyNumberFormat="1" applyFont="1" applyFill="1" applyBorder="1" applyAlignment="1">
      <alignment vertical="center" wrapText="1"/>
    </xf>
    <xf numFmtId="164" fontId="5" fillId="3" borderId="40" xfId="0" applyNumberFormat="1" applyFont="1" applyFill="1" applyBorder="1" applyAlignment="1">
      <alignment vertical="center" wrapText="1"/>
    </xf>
    <xf numFmtId="164" fontId="4" fillId="3" borderId="18" xfId="0" applyNumberFormat="1" applyFont="1" applyFill="1" applyBorder="1" applyAlignment="1">
      <alignment vertical="center"/>
    </xf>
    <xf numFmtId="164" fontId="5" fillId="3" borderId="46" xfId="0" applyNumberFormat="1" applyFont="1" applyFill="1" applyBorder="1" applyAlignment="1">
      <alignment vertical="center"/>
    </xf>
    <xf numFmtId="164" fontId="1" fillId="0" borderId="47" xfId="0" applyNumberFormat="1" applyFont="1" applyBorder="1" applyAlignment="1">
      <alignment horizontal="left" vertical="center"/>
    </xf>
    <xf numFmtId="164" fontId="5" fillId="3" borderId="50" xfId="0" applyNumberFormat="1" applyFont="1" applyFill="1" applyBorder="1" applyAlignment="1">
      <alignment vertical="center" wrapText="1"/>
    </xf>
    <xf numFmtId="164" fontId="5" fillId="3" borderId="51" xfId="0" applyNumberFormat="1" applyFont="1" applyFill="1" applyBorder="1" applyAlignment="1">
      <alignment vertical="center" wrapText="1"/>
    </xf>
    <xf numFmtId="164" fontId="4" fillId="0" borderId="52" xfId="0" applyNumberFormat="1" applyFont="1" applyBorder="1" applyAlignment="1">
      <alignment vertical="center"/>
    </xf>
    <xf numFmtId="164" fontId="4" fillId="0" borderId="53" xfId="0" applyNumberFormat="1" applyFont="1" applyBorder="1" applyAlignment="1">
      <alignment vertical="center"/>
    </xf>
    <xf numFmtId="164" fontId="5" fillId="3" borderId="54" xfId="0" applyNumberFormat="1" applyFont="1" applyFill="1" applyBorder="1" applyAlignment="1">
      <alignment vertical="center"/>
    </xf>
    <xf numFmtId="164" fontId="5" fillId="0" borderId="0" xfId="0" applyNumberFormat="1" applyFont="1" applyAlignment="1">
      <alignment horizontal="left" vertical="center" wrapText="1"/>
    </xf>
    <xf numFmtId="0" fontId="3" fillId="0" borderId="17" xfId="0" applyFont="1" applyBorder="1"/>
    <xf numFmtId="164" fontId="1" fillId="0" borderId="0" xfId="0" applyNumberFormat="1" applyFont="1" applyAlignment="1">
      <alignment vertical="center" wrapText="1"/>
    </xf>
    <xf numFmtId="0" fontId="0" fillId="0" borderId="0" xfId="0"/>
    <xf numFmtId="164" fontId="1" fillId="0" borderId="0" xfId="0" applyNumberFormat="1" applyFont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1" fillId="0" borderId="10" xfId="0" applyNumberFormat="1" applyFont="1" applyBorder="1" applyAlignment="1">
      <alignment horizontal="left" vertical="center"/>
    </xf>
    <xf numFmtId="0" fontId="3" fillId="0" borderId="11" xfId="0" applyFont="1" applyBorder="1"/>
    <xf numFmtId="164" fontId="1" fillId="0" borderId="0" xfId="0" applyNumberFormat="1" applyFont="1" applyAlignment="1">
      <alignment horizontal="right" vertical="center"/>
    </xf>
    <xf numFmtId="164" fontId="1" fillId="0" borderId="12" xfId="0" applyNumberFormat="1" applyFont="1" applyBorder="1" applyAlignment="1">
      <alignment horizontal="left" vertical="center" wrapText="1"/>
    </xf>
    <xf numFmtId="0" fontId="3" fillId="0" borderId="16" xfId="0" applyFont="1" applyBorder="1"/>
    <xf numFmtId="0" fontId="3" fillId="0" borderId="19" xfId="0" applyFont="1" applyBorder="1"/>
    <xf numFmtId="164" fontId="5" fillId="0" borderId="13" xfId="0" applyNumberFormat="1" applyFont="1" applyBorder="1" applyAlignment="1">
      <alignment horizontal="left" vertical="center" wrapText="1"/>
    </xf>
    <xf numFmtId="0" fontId="3" fillId="0" borderId="14" xfId="0" applyFont="1" applyBorder="1"/>
    <xf numFmtId="164" fontId="1" fillId="0" borderId="24" xfId="0" applyNumberFormat="1" applyFont="1" applyBorder="1" applyAlignment="1">
      <alignment horizontal="left" vertical="center" wrapText="1"/>
    </xf>
    <xf numFmtId="0" fontId="3" fillId="0" borderId="28" xfId="0" applyFont="1" applyBorder="1"/>
    <xf numFmtId="164" fontId="1" fillId="3" borderId="20" xfId="0" applyNumberFormat="1" applyFont="1" applyFill="1" applyBorder="1" applyAlignment="1">
      <alignment horizontal="left" vertical="center" wrapText="1"/>
    </xf>
    <xf numFmtId="0" fontId="3" fillId="0" borderId="35" xfId="0" applyFont="1" applyBorder="1"/>
    <xf numFmtId="164" fontId="5" fillId="0" borderId="25" xfId="0" applyNumberFormat="1" applyFont="1" applyBorder="1" applyAlignment="1">
      <alignment horizontal="left" vertical="center" wrapText="1"/>
    </xf>
    <xf numFmtId="0" fontId="3" fillId="0" borderId="26" xfId="0" applyFont="1" applyBorder="1"/>
    <xf numFmtId="164" fontId="1" fillId="3" borderId="29" xfId="0" applyNumberFormat="1" applyFont="1" applyFill="1" applyBorder="1" applyAlignment="1">
      <alignment horizontal="left" vertical="center" wrapText="1"/>
    </xf>
    <xf numFmtId="0" fontId="3" fillId="0" borderId="30" xfId="0" applyFont="1" applyBorder="1"/>
    <xf numFmtId="164" fontId="1" fillId="0" borderId="0" xfId="0" applyNumberFormat="1" applyFont="1" applyAlignment="1">
      <alignment horizontal="left" vertical="center" wrapText="1"/>
    </xf>
    <xf numFmtId="0" fontId="3" fillId="0" borderId="21" xfId="0" applyFont="1" applyBorder="1"/>
    <xf numFmtId="164" fontId="1" fillId="0" borderId="25" xfId="0" applyNumberFormat="1" applyFont="1" applyBorder="1" applyAlignment="1">
      <alignment vertical="center" wrapText="1"/>
    </xf>
    <xf numFmtId="0" fontId="3" fillId="0" borderId="25" xfId="0" applyFont="1" applyBorder="1"/>
    <xf numFmtId="0" fontId="3" fillId="0" borderId="41" xfId="0" applyFont="1" applyBorder="1"/>
    <xf numFmtId="164" fontId="5" fillId="0" borderId="42" xfId="0" applyNumberFormat="1" applyFont="1" applyBorder="1" applyAlignment="1">
      <alignment horizontal="left" vertical="center" wrapText="1"/>
    </xf>
    <xf numFmtId="164" fontId="5" fillId="0" borderId="43" xfId="0" applyNumberFormat="1" applyFont="1" applyBorder="1" applyAlignment="1">
      <alignment horizontal="left" vertical="center" wrapText="1"/>
    </xf>
    <xf numFmtId="164" fontId="1" fillId="3" borderId="44" xfId="0" applyNumberFormat="1" applyFont="1" applyFill="1" applyBorder="1" applyAlignment="1">
      <alignment horizontal="left" vertical="center" wrapText="1"/>
    </xf>
    <xf numFmtId="0" fontId="3" fillId="0" borderId="45" xfId="0" applyFont="1" applyBorder="1"/>
    <xf numFmtId="164" fontId="1" fillId="3" borderId="48" xfId="0" applyNumberFormat="1" applyFont="1" applyFill="1" applyBorder="1" applyAlignment="1">
      <alignment horizontal="left" vertical="center" wrapText="1"/>
    </xf>
    <xf numFmtId="0" fontId="3" fillId="0" borderId="49" xfId="0" applyFont="1" applyBorder="1"/>
    <xf numFmtId="164" fontId="1" fillId="3" borderId="37" xfId="0" applyNumberFormat="1" applyFont="1" applyFill="1" applyBorder="1" applyAlignment="1">
      <alignment horizontal="left" vertical="center" wrapText="1"/>
    </xf>
    <xf numFmtId="0" fontId="3" fillId="0" borderId="38" xfId="0" applyFont="1" applyBorder="1"/>
    <xf numFmtId="164" fontId="1" fillId="0" borderId="25" xfId="0" applyNumberFormat="1" applyFont="1" applyBorder="1" applyAlignment="1">
      <alignment horizontal="left" vertical="center" wrapText="1"/>
    </xf>
    <xf numFmtId="164" fontId="1" fillId="4" borderId="1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C5"/>
    </sheetView>
  </sheetViews>
  <sheetFormatPr defaultColWidth="14.44140625" defaultRowHeight="15" customHeight="1" outlineLevelRow="1" x14ac:dyDescent="0.3"/>
  <cols>
    <col min="1" max="2" width="19.44140625" customWidth="1"/>
    <col min="3" max="3" width="33.44140625" customWidth="1"/>
    <col min="4" max="16" width="13.44140625" customWidth="1"/>
    <col min="17" max="27" width="8.6640625" customWidth="1"/>
  </cols>
  <sheetData>
    <row r="1" spans="1:27" ht="46.5" customHeight="1" x14ac:dyDescent="0.3">
      <c r="A1" s="56" t="s">
        <v>44</v>
      </c>
      <c r="B1" s="30"/>
      <c r="C1" s="30"/>
      <c r="D1" s="32" t="s">
        <v>43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4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4" x14ac:dyDescent="0.3">
      <c r="A2" s="30"/>
      <c r="B2" s="30"/>
      <c r="C2" s="30"/>
      <c r="D2" s="35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6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3">
      <c r="A3" s="30"/>
      <c r="B3" s="30"/>
      <c r="C3" s="30"/>
      <c r="D3" s="35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6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4" x14ac:dyDescent="0.3">
      <c r="A4" s="30"/>
      <c r="B4" s="30"/>
      <c r="C4" s="30"/>
      <c r="D4" s="35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6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4" x14ac:dyDescent="0.3">
      <c r="A5" s="30"/>
      <c r="B5" s="30"/>
      <c r="C5" s="30"/>
      <c r="D5" s="37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9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4" x14ac:dyDescent="0.3">
      <c r="A6" s="3" t="s">
        <v>0</v>
      </c>
      <c r="B6" s="40" t="s">
        <v>1</v>
      </c>
      <c r="C6" s="41"/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4.4" x14ac:dyDescent="0.3">
      <c r="A7" s="1"/>
      <c r="B7" s="31"/>
      <c r="C7" s="30"/>
      <c r="D7" s="42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33" customHeight="1" outlineLevel="1" x14ac:dyDescent="0.3">
      <c r="A8" s="43" t="s">
        <v>15</v>
      </c>
      <c r="B8" s="46" t="s">
        <v>16</v>
      </c>
      <c r="C8" s="47"/>
      <c r="D8" s="5">
        <v>4469488.78</v>
      </c>
      <c r="E8" s="5">
        <v>4611581.2300000004</v>
      </c>
      <c r="F8" s="5">
        <v>4281725.87</v>
      </c>
      <c r="G8" s="5">
        <v>5139944.49</v>
      </c>
      <c r="H8" s="5">
        <v>3433759.82</v>
      </c>
      <c r="I8" s="5">
        <v>4344105.13</v>
      </c>
      <c r="J8" s="5">
        <v>4107790.25</v>
      </c>
      <c r="K8" s="5">
        <v>4726121.07</v>
      </c>
      <c r="L8" s="5">
        <v>5306162.49</v>
      </c>
      <c r="M8" s="5">
        <v>4912692.92</v>
      </c>
      <c r="N8" s="5">
        <v>5185471.5199999996</v>
      </c>
      <c r="O8" s="5">
        <v>4133258.76</v>
      </c>
      <c r="P8" s="6">
        <f t="shared" ref="P8:P11" si="0">SUM(D8:O8)</f>
        <v>54652102.330000006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4" outlineLevel="1" x14ac:dyDescent="0.3">
      <c r="A9" s="44"/>
      <c r="B9" s="27" t="s">
        <v>17</v>
      </c>
      <c r="C9" s="28"/>
      <c r="D9" s="2">
        <v>433645.45</v>
      </c>
      <c r="E9" s="2">
        <v>250614</v>
      </c>
      <c r="F9" s="2">
        <v>184703.2</v>
      </c>
      <c r="G9" s="2">
        <v>534473</v>
      </c>
      <c r="H9" s="2">
        <v>375364.59</v>
      </c>
      <c r="I9" s="2">
        <v>275932</v>
      </c>
      <c r="J9" s="2">
        <v>56930</v>
      </c>
      <c r="K9" s="2">
        <v>368806.8</v>
      </c>
      <c r="L9" s="2">
        <v>305599.84999999998</v>
      </c>
      <c r="M9" s="2">
        <v>367456.42</v>
      </c>
      <c r="N9" s="2">
        <v>728505.35</v>
      </c>
      <c r="O9" s="2">
        <v>141461</v>
      </c>
      <c r="P9" s="7">
        <f t="shared" si="0"/>
        <v>4023491.66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4" outlineLevel="1" x14ac:dyDescent="0.3">
      <c r="A10" s="44"/>
      <c r="B10" s="27" t="s">
        <v>18</v>
      </c>
      <c r="C10" s="28"/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7">
        <f t="shared" si="0"/>
        <v>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4" outlineLevel="1" x14ac:dyDescent="0.3">
      <c r="A11" s="44"/>
      <c r="B11" s="27" t="s">
        <v>19</v>
      </c>
      <c r="C11" s="28"/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7">
        <f t="shared" si="0"/>
        <v>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4" outlineLevel="1" x14ac:dyDescent="0.3">
      <c r="A12" s="45"/>
      <c r="B12" s="50" t="s">
        <v>20</v>
      </c>
      <c r="C12" s="57"/>
      <c r="D12" s="8">
        <f t="shared" ref="D12:P12" si="1">SUM(D8:D11)</f>
        <v>4903134.2300000004</v>
      </c>
      <c r="E12" s="8">
        <f t="shared" si="1"/>
        <v>4862195.2300000004</v>
      </c>
      <c r="F12" s="8">
        <f t="shared" si="1"/>
        <v>4466429.07</v>
      </c>
      <c r="G12" s="8">
        <f t="shared" si="1"/>
        <v>5674417.4900000002</v>
      </c>
      <c r="H12" s="8">
        <f t="shared" si="1"/>
        <v>3809124.4099999997</v>
      </c>
      <c r="I12" s="8">
        <f t="shared" si="1"/>
        <v>4620037.13</v>
      </c>
      <c r="J12" s="8">
        <f t="shared" si="1"/>
        <v>4164720.25</v>
      </c>
      <c r="K12" s="8">
        <f t="shared" si="1"/>
        <v>5094927.87</v>
      </c>
      <c r="L12" s="8">
        <f t="shared" si="1"/>
        <v>5611762.3399999999</v>
      </c>
      <c r="M12" s="8">
        <f t="shared" si="1"/>
        <v>5280149.34</v>
      </c>
      <c r="N12" s="8">
        <f t="shared" si="1"/>
        <v>5913976.8699999992</v>
      </c>
      <c r="O12" s="8">
        <f t="shared" si="1"/>
        <v>4274719.76</v>
      </c>
      <c r="P12" s="9">
        <f t="shared" si="1"/>
        <v>58675593.99000001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4" x14ac:dyDescent="0.3">
      <c r="A13" s="56"/>
      <c r="B13" s="30"/>
      <c r="C13" s="30"/>
      <c r="D13" s="29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4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44.25" customHeight="1" x14ac:dyDescent="0.3">
      <c r="A15" s="43" t="s">
        <v>21</v>
      </c>
      <c r="B15" s="46" t="s">
        <v>22</v>
      </c>
      <c r="C15" s="47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6">
        <f t="shared" ref="P15:P16" si="2">SUM(D15:O15)</f>
        <v>0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4.75" customHeight="1" x14ac:dyDescent="0.3">
      <c r="A16" s="44"/>
      <c r="B16" s="27" t="s">
        <v>23</v>
      </c>
      <c r="C16" s="28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7">
        <f t="shared" si="2"/>
        <v>0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4" x14ac:dyDescent="0.3">
      <c r="A17" s="45"/>
      <c r="B17" s="50" t="s">
        <v>14</v>
      </c>
      <c r="C17" s="57"/>
      <c r="D17" s="8">
        <f t="shared" ref="D17:P17" si="3">SUM(D15:D16)</f>
        <v>0</v>
      </c>
      <c r="E17" s="8">
        <f t="shared" si="3"/>
        <v>0</v>
      </c>
      <c r="F17" s="8">
        <f t="shared" si="3"/>
        <v>0</v>
      </c>
      <c r="G17" s="8">
        <f t="shared" si="3"/>
        <v>0</v>
      </c>
      <c r="H17" s="8">
        <f t="shared" si="3"/>
        <v>0</v>
      </c>
      <c r="I17" s="8">
        <f t="shared" si="3"/>
        <v>0</v>
      </c>
      <c r="J17" s="8">
        <f t="shared" si="3"/>
        <v>0</v>
      </c>
      <c r="K17" s="8">
        <f t="shared" si="3"/>
        <v>0</v>
      </c>
      <c r="L17" s="8">
        <f t="shared" si="3"/>
        <v>0</v>
      </c>
      <c r="M17" s="8">
        <f t="shared" si="3"/>
        <v>0</v>
      </c>
      <c r="N17" s="8">
        <f t="shared" si="3"/>
        <v>0</v>
      </c>
      <c r="O17" s="8">
        <f t="shared" si="3"/>
        <v>0</v>
      </c>
      <c r="P17" s="9">
        <f t="shared" si="3"/>
        <v>0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4" x14ac:dyDescent="0.3">
      <c r="A18" s="56"/>
      <c r="B18" s="30"/>
      <c r="C18" s="30"/>
      <c r="D18" s="29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4" x14ac:dyDescent="0.3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4" outlineLevel="1" x14ac:dyDescent="0.3">
      <c r="A20" s="48" t="s">
        <v>24</v>
      </c>
      <c r="B20" s="52" t="s">
        <v>25</v>
      </c>
      <c r="C20" s="53"/>
      <c r="D20" s="5">
        <v>0</v>
      </c>
      <c r="E20" s="5">
        <v>0</v>
      </c>
      <c r="F20" s="5">
        <v>0</v>
      </c>
      <c r="G20" s="5">
        <v>9400</v>
      </c>
      <c r="H20" s="5">
        <v>0</v>
      </c>
      <c r="I20" s="5">
        <v>0</v>
      </c>
      <c r="J20" s="5">
        <v>0</v>
      </c>
      <c r="K20" s="5">
        <v>1370</v>
      </c>
      <c r="L20" s="5">
        <v>1651</v>
      </c>
      <c r="M20" s="5">
        <v>1621</v>
      </c>
      <c r="N20" s="5">
        <v>91389</v>
      </c>
      <c r="O20" s="5">
        <v>665</v>
      </c>
      <c r="P20" s="10">
        <f>SUM(D20:O20)</f>
        <v>106096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outlineLevel="1" x14ac:dyDescent="0.3">
      <c r="A21" s="49"/>
      <c r="B21" s="54" t="s">
        <v>20</v>
      </c>
      <c r="C21" s="55"/>
      <c r="D21" s="11">
        <f t="shared" ref="D21:P21" si="4">SUM(D20)</f>
        <v>0</v>
      </c>
      <c r="E21" s="11">
        <f t="shared" si="4"/>
        <v>0</v>
      </c>
      <c r="F21" s="11">
        <f t="shared" si="4"/>
        <v>0</v>
      </c>
      <c r="G21" s="11">
        <f t="shared" si="4"/>
        <v>9400</v>
      </c>
      <c r="H21" s="11">
        <f t="shared" si="4"/>
        <v>0</v>
      </c>
      <c r="I21" s="11">
        <f t="shared" si="4"/>
        <v>0</v>
      </c>
      <c r="J21" s="11">
        <f t="shared" si="4"/>
        <v>0</v>
      </c>
      <c r="K21" s="11">
        <f t="shared" si="4"/>
        <v>1370</v>
      </c>
      <c r="L21" s="11">
        <f t="shared" si="4"/>
        <v>1651</v>
      </c>
      <c r="M21" s="11">
        <f t="shared" si="4"/>
        <v>1621</v>
      </c>
      <c r="N21" s="11">
        <f t="shared" si="4"/>
        <v>91389</v>
      </c>
      <c r="O21" s="11">
        <f t="shared" si="4"/>
        <v>665</v>
      </c>
      <c r="P21" s="12">
        <f t="shared" si="4"/>
        <v>106096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3">
      <c r="A22" s="56"/>
      <c r="B22" s="30"/>
      <c r="C22" s="30"/>
      <c r="D22" s="29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outlineLevel="1" x14ac:dyDescent="0.3">
      <c r="A24" s="43" t="s">
        <v>26</v>
      </c>
      <c r="B24" s="46" t="s">
        <v>27</v>
      </c>
      <c r="C24" s="47"/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13">
        <v>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outlineLevel="1" x14ac:dyDescent="0.3">
      <c r="A25" s="44"/>
      <c r="B25" s="27" t="s">
        <v>28</v>
      </c>
      <c r="C25" s="28"/>
      <c r="D25" s="2">
        <v>237100</v>
      </c>
      <c r="E25" s="2">
        <v>145970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14">
        <v>80217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outlineLevel="1" x14ac:dyDescent="0.3">
      <c r="A26" s="44"/>
      <c r="B26" s="27" t="s">
        <v>29</v>
      </c>
      <c r="C26" s="28"/>
      <c r="D26" s="2">
        <v>324960</v>
      </c>
      <c r="E26" s="2">
        <v>219816</v>
      </c>
      <c r="F26" s="2">
        <v>0</v>
      </c>
      <c r="G26" s="2">
        <v>0</v>
      </c>
      <c r="H26" s="2">
        <v>76624</v>
      </c>
      <c r="I26" s="2">
        <v>20197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14">
        <v>80216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outlineLevel="1" x14ac:dyDescent="0.3">
      <c r="A27" s="44"/>
      <c r="B27" s="27" t="s">
        <v>30</v>
      </c>
      <c r="C27" s="28"/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14">
        <v>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outlineLevel="1" x14ac:dyDescent="0.3">
      <c r="A28" s="45"/>
      <c r="B28" s="50" t="s">
        <v>20</v>
      </c>
      <c r="C28" s="57"/>
      <c r="D28" s="8">
        <f t="shared" ref="D28:O28" si="5">SUM(D24:D27)</f>
        <v>562060</v>
      </c>
      <c r="E28" s="8">
        <f t="shared" si="5"/>
        <v>365786</v>
      </c>
      <c r="F28" s="8">
        <f t="shared" si="5"/>
        <v>0</v>
      </c>
      <c r="G28" s="8">
        <f t="shared" si="5"/>
        <v>0</v>
      </c>
      <c r="H28" s="8">
        <f t="shared" si="5"/>
        <v>76624</v>
      </c>
      <c r="I28" s="8">
        <f t="shared" si="5"/>
        <v>20197</v>
      </c>
      <c r="J28" s="8">
        <f t="shared" si="5"/>
        <v>0</v>
      </c>
      <c r="K28" s="8">
        <f t="shared" si="5"/>
        <v>0</v>
      </c>
      <c r="L28" s="8">
        <f t="shared" si="5"/>
        <v>0</v>
      </c>
      <c r="M28" s="8">
        <f t="shared" si="5"/>
        <v>0</v>
      </c>
      <c r="N28" s="8">
        <f t="shared" si="5"/>
        <v>0</v>
      </c>
      <c r="O28" s="15">
        <f t="shared" si="5"/>
        <v>160433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3">
      <c r="A29" s="56"/>
      <c r="B29" s="30"/>
      <c r="C29" s="30"/>
      <c r="D29" s="29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3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outlineLevel="1" x14ac:dyDescent="0.3">
      <c r="A31" s="43" t="s">
        <v>31</v>
      </c>
      <c r="B31" s="46" t="s">
        <v>27</v>
      </c>
      <c r="C31" s="47"/>
      <c r="D31" s="5">
        <v>414792</v>
      </c>
      <c r="E31" s="5">
        <v>428118</v>
      </c>
      <c r="F31" s="5">
        <v>499640</v>
      </c>
      <c r="G31" s="5">
        <v>595820</v>
      </c>
      <c r="H31" s="5">
        <v>356032</v>
      </c>
      <c r="I31" s="5">
        <v>426231</v>
      </c>
      <c r="J31" s="5">
        <v>434865</v>
      </c>
      <c r="K31" s="5">
        <v>470276</v>
      </c>
      <c r="L31" s="5">
        <v>558251</v>
      </c>
      <c r="M31" s="5">
        <v>528870</v>
      </c>
      <c r="N31" s="5">
        <v>481459</v>
      </c>
      <c r="O31" s="5">
        <v>364562</v>
      </c>
      <c r="P31" s="6">
        <f t="shared" ref="P31:P34" si="6">SUM(D31:O31)</f>
        <v>5558916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outlineLevel="1" x14ac:dyDescent="0.3">
      <c r="A32" s="44"/>
      <c r="B32" s="27" t="s">
        <v>28</v>
      </c>
      <c r="C32" s="28"/>
      <c r="D32" s="2">
        <v>146449</v>
      </c>
      <c r="E32" s="2">
        <v>154519</v>
      </c>
      <c r="F32" s="2">
        <v>133406</v>
      </c>
      <c r="G32" s="2">
        <v>119004</v>
      </c>
      <c r="H32" s="2">
        <v>128558</v>
      </c>
      <c r="I32" s="2">
        <v>174762</v>
      </c>
      <c r="J32" s="2">
        <v>146383</v>
      </c>
      <c r="K32" s="2">
        <v>186322</v>
      </c>
      <c r="L32" s="2">
        <v>192800</v>
      </c>
      <c r="M32" s="2">
        <v>169462</v>
      </c>
      <c r="N32" s="2">
        <v>220737</v>
      </c>
      <c r="O32" s="2">
        <v>140569</v>
      </c>
      <c r="P32" s="7">
        <f t="shared" si="6"/>
        <v>1912971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outlineLevel="1" x14ac:dyDescent="0.3">
      <c r="A33" s="44"/>
      <c r="B33" s="27" t="s">
        <v>29</v>
      </c>
      <c r="C33" s="28"/>
      <c r="D33" s="2">
        <v>146449</v>
      </c>
      <c r="E33" s="2">
        <v>154519</v>
      </c>
      <c r="F33" s="2">
        <v>133406</v>
      </c>
      <c r="G33" s="2">
        <v>119004</v>
      </c>
      <c r="H33" s="2">
        <v>128558</v>
      </c>
      <c r="I33" s="2">
        <v>174762</v>
      </c>
      <c r="J33" s="2">
        <v>146383</v>
      </c>
      <c r="K33" s="2">
        <v>186322</v>
      </c>
      <c r="L33" s="2">
        <v>192800</v>
      </c>
      <c r="M33" s="2">
        <v>169462</v>
      </c>
      <c r="N33" s="2">
        <v>220737</v>
      </c>
      <c r="O33" s="2">
        <v>140569</v>
      </c>
      <c r="P33" s="7">
        <f t="shared" si="6"/>
        <v>1912971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outlineLevel="1" x14ac:dyDescent="0.3">
      <c r="A34" s="44"/>
      <c r="B34" s="27" t="s">
        <v>30</v>
      </c>
      <c r="C34" s="28"/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7">
        <f t="shared" si="6"/>
        <v>0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outlineLevel="1" x14ac:dyDescent="0.3">
      <c r="A35" s="45"/>
      <c r="B35" s="50" t="s">
        <v>20</v>
      </c>
      <c r="C35" s="57"/>
      <c r="D35" s="8">
        <f t="shared" ref="D35:P35" si="7">SUM(D31:D34)</f>
        <v>707690</v>
      </c>
      <c r="E35" s="8">
        <f t="shared" si="7"/>
        <v>737156</v>
      </c>
      <c r="F35" s="8">
        <f t="shared" si="7"/>
        <v>766452</v>
      </c>
      <c r="G35" s="8">
        <f t="shared" si="7"/>
        <v>833828</v>
      </c>
      <c r="H35" s="8">
        <f t="shared" si="7"/>
        <v>613148</v>
      </c>
      <c r="I35" s="8">
        <f t="shared" si="7"/>
        <v>775755</v>
      </c>
      <c r="J35" s="8">
        <f t="shared" si="7"/>
        <v>727631</v>
      </c>
      <c r="K35" s="8">
        <f t="shared" si="7"/>
        <v>842920</v>
      </c>
      <c r="L35" s="8">
        <f t="shared" si="7"/>
        <v>943851</v>
      </c>
      <c r="M35" s="8">
        <f t="shared" si="7"/>
        <v>867794</v>
      </c>
      <c r="N35" s="8">
        <f t="shared" si="7"/>
        <v>922933</v>
      </c>
      <c r="O35" s="8">
        <f t="shared" si="7"/>
        <v>645700</v>
      </c>
      <c r="P35" s="9">
        <f t="shared" si="7"/>
        <v>9384858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outlineLevel="1" x14ac:dyDescent="0.3">
      <c r="A36" s="43" t="s">
        <v>32</v>
      </c>
      <c r="B36" s="46" t="s">
        <v>27</v>
      </c>
      <c r="C36" s="47"/>
      <c r="D36" s="5">
        <v>0</v>
      </c>
      <c r="E36" s="5">
        <v>0</v>
      </c>
      <c r="F36" s="5">
        <v>0</v>
      </c>
      <c r="G36" s="5">
        <v>470</v>
      </c>
      <c r="H36" s="5">
        <v>0</v>
      </c>
      <c r="I36" s="5">
        <v>0</v>
      </c>
      <c r="J36" s="5">
        <v>0</v>
      </c>
      <c r="K36" s="5">
        <v>69</v>
      </c>
      <c r="L36" s="5">
        <v>73</v>
      </c>
      <c r="M36" s="5">
        <v>71</v>
      </c>
      <c r="N36" s="5">
        <v>69</v>
      </c>
      <c r="O36" s="5">
        <v>33</v>
      </c>
      <c r="P36" s="6">
        <f t="shared" ref="P36:P39" si="8">SUM(D36:O36)</f>
        <v>785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outlineLevel="1" x14ac:dyDescent="0.3">
      <c r="A37" s="44"/>
      <c r="B37" s="27" t="s">
        <v>28</v>
      </c>
      <c r="C37" s="28"/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5</v>
      </c>
      <c r="M37" s="2">
        <v>5</v>
      </c>
      <c r="N37" s="2">
        <v>8100</v>
      </c>
      <c r="O37" s="2">
        <v>0</v>
      </c>
      <c r="P37" s="7">
        <f t="shared" si="8"/>
        <v>8110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outlineLevel="1" x14ac:dyDescent="0.3">
      <c r="A38" s="44"/>
      <c r="B38" s="27" t="s">
        <v>29</v>
      </c>
      <c r="C38" s="28"/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5</v>
      </c>
      <c r="M38" s="2">
        <v>5</v>
      </c>
      <c r="N38" s="2">
        <v>8100</v>
      </c>
      <c r="O38" s="2">
        <v>0</v>
      </c>
      <c r="P38" s="7">
        <f t="shared" si="8"/>
        <v>8110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outlineLevel="1" x14ac:dyDescent="0.3">
      <c r="A39" s="44"/>
      <c r="B39" s="27" t="s">
        <v>30</v>
      </c>
      <c r="C39" s="28"/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7">
        <f t="shared" si="8"/>
        <v>0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outlineLevel="1" x14ac:dyDescent="0.3">
      <c r="A40" s="45"/>
      <c r="B40" s="50" t="s">
        <v>20</v>
      </c>
      <c r="C40" s="51"/>
      <c r="D40" s="8">
        <f t="shared" ref="D40:P40" si="9">SUM(D36:D39)</f>
        <v>0</v>
      </c>
      <c r="E40" s="8">
        <f t="shared" si="9"/>
        <v>0</v>
      </c>
      <c r="F40" s="8">
        <f t="shared" si="9"/>
        <v>0</v>
      </c>
      <c r="G40" s="8">
        <f t="shared" si="9"/>
        <v>470</v>
      </c>
      <c r="H40" s="8">
        <f t="shared" si="9"/>
        <v>0</v>
      </c>
      <c r="I40" s="8">
        <f t="shared" si="9"/>
        <v>0</v>
      </c>
      <c r="J40" s="8">
        <f t="shared" si="9"/>
        <v>0</v>
      </c>
      <c r="K40" s="8">
        <f t="shared" si="9"/>
        <v>69</v>
      </c>
      <c r="L40" s="8">
        <f t="shared" si="9"/>
        <v>83</v>
      </c>
      <c r="M40" s="8">
        <f t="shared" si="9"/>
        <v>81</v>
      </c>
      <c r="N40" s="8">
        <f t="shared" si="9"/>
        <v>16269</v>
      </c>
      <c r="O40" s="8">
        <f t="shared" si="9"/>
        <v>33</v>
      </c>
      <c r="P40" s="9">
        <f t="shared" si="9"/>
        <v>17005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outlineLevel="1" x14ac:dyDescent="0.3">
      <c r="A41" s="16" t="s">
        <v>33</v>
      </c>
      <c r="B41" s="67" t="s">
        <v>34</v>
      </c>
      <c r="C41" s="68"/>
      <c r="D41" s="17">
        <f t="shared" ref="D41:P41" si="10">SUM(D35,D40)</f>
        <v>707690</v>
      </c>
      <c r="E41" s="17">
        <f t="shared" si="10"/>
        <v>737156</v>
      </c>
      <c r="F41" s="17">
        <f t="shared" si="10"/>
        <v>766452</v>
      </c>
      <c r="G41" s="17">
        <f t="shared" si="10"/>
        <v>834298</v>
      </c>
      <c r="H41" s="17">
        <f t="shared" si="10"/>
        <v>613148</v>
      </c>
      <c r="I41" s="17">
        <f t="shared" si="10"/>
        <v>775755</v>
      </c>
      <c r="J41" s="17">
        <f t="shared" si="10"/>
        <v>727631</v>
      </c>
      <c r="K41" s="17">
        <f t="shared" si="10"/>
        <v>842989</v>
      </c>
      <c r="L41" s="17">
        <f t="shared" si="10"/>
        <v>943934</v>
      </c>
      <c r="M41" s="17">
        <f t="shared" si="10"/>
        <v>867875</v>
      </c>
      <c r="N41" s="17">
        <f t="shared" si="10"/>
        <v>939202</v>
      </c>
      <c r="O41" s="17">
        <f t="shared" si="10"/>
        <v>645733</v>
      </c>
      <c r="P41" s="18">
        <f t="shared" si="10"/>
        <v>9401863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3">
      <c r="A42" s="69"/>
      <c r="B42" s="59"/>
      <c r="C42" s="59"/>
      <c r="D42" s="58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outlineLevel="1" x14ac:dyDescent="0.3">
      <c r="A44" s="43" t="s">
        <v>35</v>
      </c>
      <c r="B44" s="46" t="s">
        <v>36</v>
      </c>
      <c r="C44" s="47"/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6">
        <f t="shared" ref="P44:P47" si="11">SUM(D44:O44)</f>
        <v>0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outlineLevel="1" x14ac:dyDescent="0.3">
      <c r="A45" s="44"/>
      <c r="B45" s="27" t="s">
        <v>28</v>
      </c>
      <c r="C45" s="28"/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19">
        <f t="shared" si="11"/>
        <v>0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outlineLevel="1" x14ac:dyDescent="0.3">
      <c r="A46" s="44"/>
      <c r="B46" s="27" t="s">
        <v>29</v>
      </c>
      <c r="C46" s="28"/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19">
        <f t="shared" si="11"/>
        <v>0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outlineLevel="1" x14ac:dyDescent="0.3">
      <c r="A47" s="44"/>
      <c r="B47" s="27" t="s">
        <v>30</v>
      </c>
      <c r="C47" s="28"/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19">
        <f t="shared" si="11"/>
        <v>0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outlineLevel="1" x14ac:dyDescent="0.3">
      <c r="A48" s="45"/>
      <c r="B48" s="50" t="s">
        <v>20</v>
      </c>
      <c r="C48" s="57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9">
        <f>SUM(P44:P47)</f>
        <v>0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3">
      <c r="A49" s="56"/>
      <c r="B49" s="30"/>
      <c r="C49" s="30"/>
      <c r="D49" s="29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3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outlineLevel="1" x14ac:dyDescent="0.3">
      <c r="A51" s="43" t="s">
        <v>37</v>
      </c>
      <c r="B51" s="46" t="s">
        <v>36</v>
      </c>
      <c r="C51" s="47"/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6">
        <f t="shared" ref="P51:P54" si="12">SUM(D51:O51)</f>
        <v>0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outlineLevel="1" x14ac:dyDescent="0.3">
      <c r="A52" s="44"/>
      <c r="B52" s="27" t="s">
        <v>28</v>
      </c>
      <c r="C52" s="28"/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19">
        <f t="shared" si="12"/>
        <v>0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outlineLevel="1" x14ac:dyDescent="0.3">
      <c r="A53" s="44"/>
      <c r="B53" s="27" t="s">
        <v>29</v>
      </c>
      <c r="C53" s="28"/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19">
        <f t="shared" si="12"/>
        <v>0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outlineLevel="1" x14ac:dyDescent="0.3">
      <c r="A54" s="44"/>
      <c r="B54" s="27" t="s">
        <v>30</v>
      </c>
      <c r="C54" s="28"/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19">
        <f t="shared" si="12"/>
        <v>0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outlineLevel="1" x14ac:dyDescent="0.3">
      <c r="A55" s="45"/>
      <c r="B55" s="50" t="s">
        <v>20</v>
      </c>
      <c r="C55" s="5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9">
        <f>SUM(P51:P54)</f>
        <v>0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3">
      <c r="A56" s="56"/>
      <c r="B56" s="30"/>
      <c r="C56" s="30"/>
      <c r="D56" s="29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3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outlineLevel="1" x14ac:dyDescent="0.3">
      <c r="A58" s="43" t="s">
        <v>38</v>
      </c>
      <c r="B58" s="46" t="s">
        <v>27</v>
      </c>
      <c r="C58" s="47"/>
      <c r="D58" s="5">
        <v>428806.11</v>
      </c>
      <c r="E58" s="5">
        <v>221073.31</v>
      </c>
      <c r="F58" s="5">
        <v>157496.43</v>
      </c>
      <c r="G58" s="5">
        <v>455666.22</v>
      </c>
      <c r="H58" s="5">
        <v>58173.39</v>
      </c>
      <c r="I58" s="5">
        <v>333668.58</v>
      </c>
      <c r="J58" s="5">
        <v>108572.04</v>
      </c>
      <c r="K58" s="5">
        <v>98202.98</v>
      </c>
      <c r="L58" s="5">
        <v>408783.18</v>
      </c>
      <c r="M58" s="5">
        <v>121517.27</v>
      </c>
      <c r="N58" s="5">
        <v>541697.01</v>
      </c>
      <c r="O58" s="5">
        <v>901534.09</v>
      </c>
      <c r="P58" s="6">
        <f t="shared" ref="P58:P61" si="13">SUM(D58:O58)</f>
        <v>3835190.6099999994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outlineLevel="1" x14ac:dyDescent="0.3">
      <c r="A59" s="44"/>
      <c r="B59" s="27" t="s">
        <v>28</v>
      </c>
      <c r="C59" s="28"/>
      <c r="D59" s="2">
        <v>41304.81</v>
      </c>
      <c r="E59" s="2">
        <v>53138.61</v>
      </c>
      <c r="F59" s="2">
        <v>273935.09000000003</v>
      </c>
      <c r="G59" s="2">
        <v>227158.43</v>
      </c>
      <c r="H59" s="2">
        <v>249273.71</v>
      </c>
      <c r="I59" s="2">
        <v>207190.13</v>
      </c>
      <c r="J59" s="2">
        <v>176332.09</v>
      </c>
      <c r="K59" s="2">
        <v>173327.3</v>
      </c>
      <c r="L59" s="2">
        <v>266455.5</v>
      </c>
      <c r="M59" s="2">
        <v>237207.42</v>
      </c>
      <c r="N59" s="2">
        <v>262699.96000000002</v>
      </c>
      <c r="O59" s="2">
        <v>362140.71</v>
      </c>
      <c r="P59" s="7">
        <f t="shared" si="13"/>
        <v>2530163.7599999998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outlineLevel="1" x14ac:dyDescent="0.3">
      <c r="A60" s="44"/>
      <c r="B60" s="27" t="s">
        <v>29</v>
      </c>
      <c r="C60" s="28"/>
      <c r="D60" s="2">
        <v>41304.81</v>
      </c>
      <c r="E60" s="2">
        <v>53138.61</v>
      </c>
      <c r="F60" s="2">
        <v>273935.09000000003</v>
      </c>
      <c r="G60" s="2">
        <v>227158.43</v>
      </c>
      <c r="H60" s="2">
        <v>249273.71</v>
      </c>
      <c r="I60" s="2">
        <v>207190.13</v>
      </c>
      <c r="J60" s="2">
        <v>176332.09</v>
      </c>
      <c r="K60" s="2">
        <v>173327.3</v>
      </c>
      <c r="L60" s="2">
        <v>266455.5</v>
      </c>
      <c r="M60" s="2">
        <v>237207.42</v>
      </c>
      <c r="N60" s="2">
        <v>262699.96000000002</v>
      </c>
      <c r="O60" s="2">
        <v>362140.71</v>
      </c>
      <c r="P60" s="7">
        <f t="shared" si="13"/>
        <v>2530163.7599999998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 outlineLevel="1" x14ac:dyDescent="0.3">
      <c r="A61" s="44"/>
      <c r="B61" s="27" t="s">
        <v>30</v>
      </c>
      <c r="C61" s="28"/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7">
        <f t="shared" si="13"/>
        <v>0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 outlineLevel="1" x14ac:dyDescent="0.3">
      <c r="A62" s="45"/>
      <c r="B62" s="50" t="s">
        <v>20</v>
      </c>
      <c r="C62" s="57"/>
      <c r="D62" s="8">
        <f t="shared" ref="D62:P62" si="14">SUM(D58:D61)</f>
        <v>511415.73</v>
      </c>
      <c r="E62" s="8">
        <f t="shared" si="14"/>
        <v>327350.52999999997</v>
      </c>
      <c r="F62" s="8">
        <f t="shared" si="14"/>
        <v>705366.6100000001</v>
      </c>
      <c r="G62" s="8">
        <f t="shared" si="14"/>
        <v>909983.07999999984</v>
      </c>
      <c r="H62" s="8">
        <f t="shared" si="14"/>
        <v>556720.80999999994</v>
      </c>
      <c r="I62" s="8">
        <f t="shared" si="14"/>
        <v>748048.84</v>
      </c>
      <c r="J62" s="8">
        <f t="shared" si="14"/>
        <v>461236.22</v>
      </c>
      <c r="K62" s="8">
        <f t="shared" si="14"/>
        <v>444857.57999999996</v>
      </c>
      <c r="L62" s="8">
        <f t="shared" si="14"/>
        <v>941694.17999999993</v>
      </c>
      <c r="M62" s="8">
        <f t="shared" si="14"/>
        <v>595932.11</v>
      </c>
      <c r="N62" s="8">
        <f t="shared" si="14"/>
        <v>1067096.93</v>
      </c>
      <c r="O62" s="8">
        <f t="shared" si="14"/>
        <v>1625815.51</v>
      </c>
      <c r="P62" s="9">
        <f t="shared" si="14"/>
        <v>8895518.129999999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outlineLevel="1" x14ac:dyDescent="0.3">
      <c r="A63" s="70" t="s">
        <v>39</v>
      </c>
      <c r="B63" s="61" t="s">
        <v>27</v>
      </c>
      <c r="C63" s="47"/>
      <c r="D63" s="5">
        <v>0</v>
      </c>
      <c r="E63" s="5">
        <v>0</v>
      </c>
      <c r="F63" s="5">
        <v>0</v>
      </c>
      <c r="G63" s="5">
        <v>470</v>
      </c>
      <c r="H63" s="5">
        <v>0</v>
      </c>
      <c r="I63" s="5">
        <v>0</v>
      </c>
      <c r="J63" s="5">
        <v>0</v>
      </c>
      <c r="K63" s="5">
        <v>68.5</v>
      </c>
      <c r="L63" s="5">
        <v>72.55</v>
      </c>
      <c r="M63" s="5">
        <v>71.05</v>
      </c>
      <c r="N63" s="5">
        <v>69.45</v>
      </c>
      <c r="O63" s="5">
        <v>33.25</v>
      </c>
      <c r="P63" s="6">
        <f t="shared" ref="P63:P66" si="15">SUM(D63:O63)</f>
        <v>784.8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outlineLevel="1" x14ac:dyDescent="0.3">
      <c r="A64" s="44"/>
      <c r="B64" s="62" t="s">
        <v>28</v>
      </c>
      <c r="C64" s="28"/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5</v>
      </c>
      <c r="M64" s="2">
        <v>5</v>
      </c>
      <c r="N64" s="2">
        <v>8100</v>
      </c>
      <c r="O64" s="2">
        <v>0</v>
      </c>
      <c r="P64" s="7">
        <f t="shared" si="15"/>
        <v>8110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outlineLevel="1" x14ac:dyDescent="0.3">
      <c r="A65" s="44"/>
      <c r="B65" s="62" t="s">
        <v>29</v>
      </c>
      <c r="C65" s="28"/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5</v>
      </c>
      <c r="M65" s="2">
        <v>5</v>
      </c>
      <c r="N65" s="2">
        <v>8100</v>
      </c>
      <c r="O65" s="2">
        <v>0</v>
      </c>
      <c r="P65" s="7">
        <f t="shared" si="15"/>
        <v>8110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outlineLevel="1" x14ac:dyDescent="0.3">
      <c r="A66" s="44"/>
      <c r="B66" s="62" t="s">
        <v>30</v>
      </c>
      <c r="C66" s="28"/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7">
        <f t="shared" si="15"/>
        <v>0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outlineLevel="1" x14ac:dyDescent="0.3">
      <c r="A67" s="45"/>
      <c r="B67" s="63" t="s">
        <v>20</v>
      </c>
      <c r="C67" s="64"/>
      <c r="D67" s="20">
        <f t="shared" ref="D67:P67" si="16">SUM(D63:D66)</f>
        <v>0</v>
      </c>
      <c r="E67" s="20">
        <f t="shared" si="16"/>
        <v>0</v>
      </c>
      <c r="F67" s="20">
        <f t="shared" si="16"/>
        <v>0</v>
      </c>
      <c r="G67" s="20">
        <f t="shared" si="16"/>
        <v>470</v>
      </c>
      <c r="H67" s="20">
        <f t="shared" si="16"/>
        <v>0</v>
      </c>
      <c r="I67" s="20">
        <f t="shared" si="16"/>
        <v>0</v>
      </c>
      <c r="J67" s="20">
        <f t="shared" si="16"/>
        <v>0</v>
      </c>
      <c r="K67" s="20">
        <f t="shared" si="16"/>
        <v>68.5</v>
      </c>
      <c r="L67" s="20">
        <f t="shared" si="16"/>
        <v>82.55</v>
      </c>
      <c r="M67" s="20">
        <f t="shared" si="16"/>
        <v>81.05</v>
      </c>
      <c r="N67" s="20">
        <f t="shared" si="16"/>
        <v>16269.45</v>
      </c>
      <c r="O67" s="20">
        <f t="shared" si="16"/>
        <v>33.25</v>
      </c>
      <c r="P67" s="9">
        <f t="shared" si="16"/>
        <v>17004.8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outlineLevel="1" x14ac:dyDescent="0.3">
      <c r="A68" s="21" t="s">
        <v>40</v>
      </c>
      <c r="B68" s="65" t="s">
        <v>34</v>
      </c>
      <c r="C68" s="66"/>
      <c r="D68" s="22">
        <f t="shared" ref="D68:P68" si="17">SUM(D62,D67)</f>
        <v>511415.73</v>
      </c>
      <c r="E68" s="22">
        <f t="shared" si="17"/>
        <v>327350.52999999997</v>
      </c>
      <c r="F68" s="22">
        <f t="shared" si="17"/>
        <v>705366.6100000001</v>
      </c>
      <c r="G68" s="22">
        <f t="shared" si="17"/>
        <v>910453.07999999984</v>
      </c>
      <c r="H68" s="22">
        <f t="shared" si="17"/>
        <v>556720.80999999994</v>
      </c>
      <c r="I68" s="22">
        <f t="shared" si="17"/>
        <v>748048.84</v>
      </c>
      <c r="J68" s="22">
        <f t="shared" si="17"/>
        <v>461236.22</v>
      </c>
      <c r="K68" s="22">
        <f t="shared" si="17"/>
        <v>444926.07999999996</v>
      </c>
      <c r="L68" s="22">
        <f t="shared" si="17"/>
        <v>941776.73</v>
      </c>
      <c r="M68" s="22">
        <f t="shared" si="17"/>
        <v>596013.16</v>
      </c>
      <c r="N68" s="22">
        <f t="shared" si="17"/>
        <v>1083366.3799999999</v>
      </c>
      <c r="O68" s="22">
        <f t="shared" si="17"/>
        <v>1625848.76</v>
      </c>
      <c r="P68" s="23">
        <f t="shared" si="17"/>
        <v>8912522.9299999997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3">
      <c r="A69" s="56"/>
      <c r="B69" s="30"/>
      <c r="C69" s="30"/>
      <c r="D69" s="29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3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outlineLevel="1" x14ac:dyDescent="0.3">
      <c r="A71" s="43" t="s">
        <v>41</v>
      </c>
      <c r="B71" s="46" t="s">
        <v>36</v>
      </c>
      <c r="C71" s="47"/>
      <c r="D71" s="5">
        <v>0</v>
      </c>
      <c r="E71" s="5">
        <v>44019</v>
      </c>
      <c r="F71" s="5">
        <v>61086</v>
      </c>
      <c r="G71" s="5">
        <v>470</v>
      </c>
      <c r="H71" s="5">
        <v>0</v>
      </c>
      <c r="I71" s="5">
        <v>7509</v>
      </c>
      <c r="J71" s="5">
        <v>266395</v>
      </c>
      <c r="K71" s="5">
        <v>372074</v>
      </c>
      <c r="L71" s="5">
        <v>2146</v>
      </c>
      <c r="M71" s="5">
        <v>271853</v>
      </c>
      <c r="N71" s="5">
        <v>69</v>
      </c>
      <c r="O71" s="5">
        <v>33</v>
      </c>
      <c r="P71" s="6">
        <f t="shared" ref="P71:P74" si="18">SUM(D71:O71)</f>
        <v>1025654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outlineLevel="1" x14ac:dyDescent="0.3">
      <c r="A72" s="44"/>
      <c r="B72" s="27" t="s">
        <v>28</v>
      </c>
      <c r="C72" s="28"/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12995</v>
      </c>
      <c r="L72" s="2">
        <v>5</v>
      </c>
      <c r="M72" s="2">
        <v>5</v>
      </c>
      <c r="N72" s="2">
        <v>8100</v>
      </c>
      <c r="O72" s="2">
        <v>0</v>
      </c>
      <c r="P72" s="7">
        <f t="shared" si="18"/>
        <v>21105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outlineLevel="1" x14ac:dyDescent="0.3">
      <c r="A73" s="44"/>
      <c r="B73" s="27" t="s">
        <v>29</v>
      </c>
      <c r="C73" s="28"/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12995</v>
      </c>
      <c r="L73" s="2">
        <v>5</v>
      </c>
      <c r="M73" s="2">
        <v>5</v>
      </c>
      <c r="N73" s="2">
        <v>8100</v>
      </c>
      <c r="O73" s="2">
        <v>0</v>
      </c>
      <c r="P73" s="7">
        <f t="shared" si="18"/>
        <v>21105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outlineLevel="1" x14ac:dyDescent="0.3">
      <c r="A74" s="44"/>
      <c r="B74" s="27" t="s">
        <v>30</v>
      </c>
      <c r="C74" s="28"/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7">
        <f t="shared" si="18"/>
        <v>0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outlineLevel="1" x14ac:dyDescent="0.3">
      <c r="A75" s="45"/>
      <c r="B75" s="50" t="s">
        <v>20</v>
      </c>
      <c r="C75" s="57"/>
      <c r="D75" s="8">
        <f t="shared" ref="D75:P75" si="19">SUM(D71:D74)</f>
        <v>0</v>
      </c>
      <c r="E75" s="8">
        <f t="shared" si="19"/>
        <v>44019</v>
      </c>
      <c r="F75" s="8">
        <f t="shared" si="19"/>
        <v>61086</v>
      </c>
      <c r="G75" s="8">
        <f t="shared" si="19"/>
        <v>470</v>
      </c>
      <c r="H75" s="8">
        <f t="shared" si="19"/>
        <v>0</v>
      </c>
      <c r="I75" s="8">
        <f t="shared" si="19"/>
        <v>7509</v>
      </c>
      <c r="J75" s="8">
        <f t="shared" si="19"/>
        <v>266395</v>
      </c>
      <c r="K75" s="8">
        <f t="shared" si="19"/>
        <v>398064</v>
      </c>
      <c r="L75" s="8">
        <f t="shared" si="19"/>
        <v>2156</v>
      </c>
      <c r="M75" s="8">
        <f t="shared" si="19"/>
        <v>271863</v>
      </c>
      <c r="N75" s="8">
        <f t="shared" si="19"/>
        <v>16269</v>
      </c>
      <c r="O75" s="8">
        <f t="shared" si="19"/>
        <v>33</v>
      </c>
      <c r="P75" s="9">
        <f t="shared" si="19"/>
        <v>1067864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3">
      <c r="A76" s="56"/>
      <c r="B76" s="30"/>
      <c r="C76" s="30"/>
      <c r="D76" s="29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3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outlineLevel="1" x14ac:dyDescent="0.3">
      <c r="A78" s="43" t="s">
        <v>42</v>
      </c>
      <c r="B78" s="46" t="s">
        <v>36</v>
      </c>
      <c r="C78" s="47"/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24">
        <v>255867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outlineLevel="1" x14ac:dyDescent="0.3">
      <c r="A79" s="44"/>
      <c r="B79" s="27" t="s">
        <v>28</v>
      </c>
      <c r="C79" s="28"/>
      <c r="D79" s="2">
        <v>145970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80217</v>
      </c>
      <c r="O79" s="25">
        <v>442358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outlineLevel="1" x14ac:dyDescent="0.3">
      <c r="A80" s="44"/>
      <c r="B80" s="27" t="s">
        <v>29</v>
      </c>
      <c r="C80" s="28"/>
      <c r="D80" s="2">
        <v>219816</v>
      </c>
      <c r="E80" s="2">
        <v>0</v>
      </c>
      <c r="F80" s="2">
        <v>0</v>
      </c>
      <c r="G80" s="2">
        <v>76624</v>
      </c>
      <c r="H80" s="2">
        <v>20197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80216</v>
      </c>
      <c r="O80" s="25">
        <v>442357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outlineLevel="1" x14ac:dyDescent="0.3">
      <c r="A81" s="44"/>
      <c r="B81" s="27" t="s">
        <v>30</v>
      </c>
      <c r="C81" s="28"/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5">
        <v>0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outlineLevel="1" x14ac:dyDescent="0.3">
      <c r="A82" s="45"/>
      <c r="B82" s="50" t="s">
        <v>20</v>
      </c>
      <c r="C82" s="57"/>
      <c r="D82" s="8">
        <f t="shared" ref="D82:O82" si="20">SUM(D78:D81)</f>
        <v>365786</v>
      </c>
      <c r="E82" s="8">
        <f t="shared" si="20"/>
        <v>0</v>
      </c>
      <c r="F82" s="8">
        <f t="shared" si="20"/>
        <v>0</v>
      </c>
      <c r="G82" s="8">
        <f t="shared" si="20"/>
        <v>76624</v>
      </c>
      <c r="H82" s="8">
        <f t="shared" si="20"/>
        <v>20197</v>
      </c>
      <c r="I82" s="8">
        <f t="shared" si="20"/>
        <v>0</v>
      </c>
      <c r="J82" s="8">
        <f t="shared" si="20"/>
        <v>0</v>
      </c>
      <c r="K82" s="8">
        <f t="shared" si="20"/>
        <v>0</v>
      </c>
      <c r="L82" s="8">
        <f t="shared" si="20"/>
        <v>0</v>
      </c>
      <c r="M82" s="8">
        <f t="shared" si="20"/>
        <v>0</v>
      </c>
      <c r="N82" s="8">
        <f t="shared" si="20"/>
        <v>160433</v>
      </c>
      <c r="O82" s="26">
        <f t="shared" si="20"/>
        <v>1140582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outlineLevel="1" x14ac:dyDescent="0.3">
      <c r="A83" s="4"/>
      <c r="B83" s="4"/>
      <c r="C83" s="4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outlineLevel="1" x14ac:dyDescent="0.3">
      <c r="A84" s="4"/>
      <c r="B84" s="4"/>
      <c r="C84" s="4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outlineLevel="1" x14ac:dyDescent="0.3">
      <c r="A85" s="4"/>
      <c r="B85" s="4"/>
      <c r="C85" s="4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outlineLevel="1" x14ac:dyDescent="0.3">
      <c r="A86" s="4"/>
      <c r="B86" s="4"/>
      <c r="C86" s="4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outlineLevel="1" x14ac:dyDescent="0.3">
      <c r="A87" s="4"/>
      <c r="B87" s="4"/>
      <c r="C87" s="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3">
      <c r="A88" s="4"/>
      <c r="B88" s="4"/>
      <c r="C88" s="4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3">
      <c r="A89" s="4"/>
      <c r="B89" s="4"/>
      <c r="C89" s="4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3">
      <c r="A90" s="4"/>
      <c r="B90" s="4"/>
      <c r="C90" s="4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3">
      <c r="A91" s="4"/>
      <c r="B91" s="4"/>
      <c r="C91" s="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3">
      <c r="A92" s="4"/>
      <c r="B92" s="4"/>
      <c r="C92" s="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3">
      <c r="A93" s="4"/>
      <c r="B93" s="4"/>
      <c r="C93" s="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3">
      <c r="A94" s="4"/>
      <c r="B94" s="4"/>
      <c r="C94" s="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3">
      <c r="A95" s="4"/>
      <c r="B95" s="4"/>
      <c r="C95" s="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3">
      <c r="A96" s="4"/>
      <c r="B96" s="4"/>
      <c r="C96" s="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3">
      <c r="A97" s="4"/>
      <c r="B97" s="4"/>
      <c r="C97" s="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3">
      <c r="A98" s="4"/>
      <c r="B98" s="4"/>
      <c r="C98" s="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3">
      <c r="A99" s="4"/>
      <c r="B99" s="4"/>
      <c r="C99" s="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3">
      <c r="A100" s="4"/>
      <c r="B100" s="4"/>
      <c r="C100" s="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3">
      <c r="A101" s="4"/>
      <c r="B101" s="4"/>
      <c r="C101" s="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3">
      <c r="A102" s="4"/>
      <c r="B102" s="4"/>
      <c r="C102" s="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3">
      <c r="A103" s="4"/>
      <c r="B103" s="4"/>
      <c r="C103" s="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3">
      <c r="A104" s="4"/>
      <c r="B104" s="4"/>
      <c r="C104" s="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3">
      <c r="A105" s="4"/>
      <c r="B105" s="4"/>
      <c r="C105" s="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3">
      <c r="A106" s="4"/>
      <c r="B106" s="4"/>
      <c r="C106" s="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3">
      <c r="A107" s="4"/>
      <c r="B107" s="4"/>
      <c r="C107" s="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3">
      <c r="A108" s="4"/>
      <c r="B108" s="4"/>
      <c r="C108" s="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3">
      <c r="A109" s="4"/>
      <c r="B109" s="4"/>
      <c r="C109" s="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3">
      <c r="A110" s="4"/>
      <c r="B110" s="4"/>
      <c r="C110" s="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3">
      <c r="A111" s="4"/>
      <c r="B111" s="4"/>
      <c r="C111" s="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3">
      <c r="A112" s="4"/>
      <c r="B112" s="4"/>
      <c r="C112" s="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3">
      <c r="A113" s="4"/>
      <c r="B113" s="4"/>
      <c r="C113" s="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3">
      <c r="A114" s="4"/>
      <c r="B114" s="4"/>
      <c r="C114" s="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3">
      <c r="A115" s="4"/>
      <c r="B115" s="4"/>
      <c r="C115" s="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3">
      <c r="A116" s="4"/>
      <c r="B116" s="4"/>
      <c r="C116" s="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3">
      <c r="A117" s="4"/>
      <c r="B117" s="4"/>
      <c r="C117" s="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3">
      <c r="A118" s="4"/>
      <c r="B118" s="4"/>
      <c r="C118" s="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3">
      <c r="A119" s="4"/>
      <c r="B119" s="4"/>
      <c r="C119" s="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3">
      <c r="A120" s="4"/>
      <c r="B120" s="4"/>
      <c r="C120" s="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3">
      <c r="A121" s="4"/>
      <c r="B121" s="4"/>
      <c r="C121" s="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3">
      <c r="A122" s="4"/>
      <c r="B122" s="4"/>
      <c r="C122" s="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3">
      <c r="A123" s="4"/>
      <c r="B123" s="4"/>
      <c r="C123" s="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3">
      <c r="A124" s="4"/>
      <c r="B124" s="4"/>
      <c r="C124" s="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3">
      <c r="A125" s="4"/>
      <c r="B125" s="4"/>
      <c r="C125" s="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3">
      <c r="A126" s="4"/>
      <c r="B126" s="4"/>
      <c r="C126" s="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3">
      <c r="A127" s="4"/>
      <c r="B127" s="4"/>
      <c r="C127" s="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3">
      <c r="A128" s="4"/>
      <c r="B128" s="4"/>
      <c r="C128" s="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3">
      <c r="A129" s="4"/>
      <c r="B129" s="4"/>
      <c r="C129" s="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3">
      <c r="A130" s="4"/>
      <c r="B130" s="4"/>
      <c r="C130" s="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3">
      <c r="A131" s="4"/>
      <c r="B131" s="4"/>
      <c r="C131" s="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3">
      <c r="A132" s="4"/>
      <c r="B132" s="4"/>
      <c r="C132" s="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3">
      <c r="A133" s="4"/>
      <c r="B133" s="4"/>
      <c r="C133" s="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3">
      <c r="A134" s="4"/>
      <c r="B134" s="4"/>
      <c r="C134" s="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3">
      <c r="A135" s="4"/>
      <c r="B135" s="4"/>
      <c r="C135" s="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3">
      <c r="A136" s="4"/>
      <c r="B136" s="4"/>
      <c r="C136" s="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3">
      <c r="A137" s="4"/>
      <c r="B137" s="4"/>
      <c r="C137" s="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3">
      <c r="A138" s="4"/>
      <c r="B138" s="4"/>
      <c r="C138" s="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3">
      <c r="A139" s="4"/>
      <c r="B139" s="4"/>
      <c r="C139" s="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3">
      <c r="A140" s="4"/>
      <c r="B140" s="4"/>
      <c r="C140" s="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3">
      <c r="A141" s="4"/>
      <c r="B141" s="4"/>
      <c r="C141" s="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3">
      <c r="A142" s="4"/>
      <c r="B142" s="4"/>
      <c r="C142" s="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3">
      <c r="A143" s="4"/>
      <c r="B143" s="4"/>
      <c r="C143" s="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3">
      <c r="A144" s="4"/>
      <c r="B144" s="4"/>
      <c r="C144" s="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3">
      <c r="A145" s="4"/>
      <c r="B145" s="4"/>
      <c r="C145" s="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3">
      <c r="A146" s="4"/>
      <c r="B146" s="4"/>
      <c r="C146" s="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3">
      <c r="A147" s="4"/>
      <c r="B147" s="4"/>
      <c r="C147" s="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3">
      <c r="A148" s="4"/>
      <c r="B148" s="4"/>
      <c r="C148" s="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3">
      <c r="A149" s="4"/>
      <c r="B149" s="4"/>
      <c r="C149" s="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3">
      <c r="A150" s="4"/>
      <c r="B150" s="4"/>
      <c r="C150" s="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3">
      <c r="A151" s="4"/>
      <c r="B151" s="4"/>
      <c r="C151" s="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3">
      <c r="A152" s="4"/>
      <c r="B152" s="4"/>
      <c r="C152" s="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3">
      <c r="A153" s="4"/>
      <c r="B153" s="4"/>
      <c r="C153" s="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3">
      <c r="A154" s="4"/>
      <c r="B154" s="4"/>
      <c r="C154" s="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3">
      <c r="A155" s="4"/>
      <c r="B155" s="4"/>
      <c r="C155" s="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3">
      <c r="A156" s="4"/>
      <c r="B156" s="4"/>
      <c r="C156" s="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3">
      <c r="A157" s="4"/>
      <c r="B157" s="4"/>
      <c r="C157" s="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3">
      <c r="A158" s="4"/>
      <c r="B158" s="4"/>
      <c r="C158" s="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3">
      <c r="A159" s="4"/>
      <c r="B159" s="4"/>
      <c r="C159" s="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3">
      <c r="A160" s="4"/>
      <c r="B160" s="4"/>
      <c r="C160" s="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3">
      <c r="A161" s="4"/>
      <c r="B161" s="4"/>
      <c r="C161" s="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3">
      <c r="A162" s="4"/>
      <c r="B162" s="4"/>
      <c r="C162" s="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3">
      <c r="A163" s="4"/>
      <c r="B163" s="4"/>
      <c r="C163" s="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3">
      <c r="A164" s="4"/>
      <c r="B164" s="4"/>
      <c r="C164" s="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3">
      <c r="A165" s="4"/>
      <c r="B165" s="4"/>
      <c r="C165" s="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3">
      <c r="A166" s="4"/>
      <c r="B166" s="4"/>
      <c r="C166" s="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3">
      <c r="A167" s="4"/>
      <c r="B167" s="4"/>
      <c r="C167" s="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3">
      <c r="A168" s="4"/>
      <c r="B168" s="4"/>
      <c r="C168" s="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3">
      <c r="A169" s="4"/>
      <c r="B169" s="4"/>
      <c r="C169" s="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3">
      <c r="A170" s="4"/>
      <c r="B170" s="4"/>
      <c r="C170" s="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3">
      <c r="A171" s="4"/>
      <c r="B171" s="4"/>
      <c r="C171" s="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3">
      <c r="A172" s="4"/>
      <c r="B172" s="4"/>
      <c r="C172" s="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3">
      <c r="A173" s="4"/>
      <c r="B173" s="4"/>
      <c r="C173" s="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3">
      <c r="A174" s="4"/>
      <c r="B174" s="4"/>
      <c r="C174" s="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3">
      <c r="A175" s="4"/>
      <c r="B175" s="4"/>
      <c r="C175" s="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3">
      <c r="A176" s="4"/>
      <c r="B176" s="4"/>
      <c r="C176" s="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3">
      <c r="A177" s="4"/>
      <c r="B177" s="4"/>
      <c r="C177" s="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3">
      <c r="A178" s="4"/>
      <c r="B178" s="4"/>
      <c r="C178" s="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3">
      <c r="A179" s="4"/>
      <c r="B179" s="4"/>
      <c r="C179" s="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3">
      <c r="A180" s="4"/>
      <c r="B180" s="4"/>
      <c r="C180" s="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3">
      <c r="A181" s="4"/>
      <c r="B181" s="4"/>
      <c r="C181" s="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3">
      <c r="A182" s="4"/>
      <c r="B182" s="4"/>
      <c r="C182" s="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3">
      <c r="A183" s="4"/>
      <c r="B183" s="4"/>
      <c r="C183" s="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3">
      <c r="A184" s="4"/>
      <c r="B184" s="4"/>
      <c r="C184" s="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3">
      <c r="A185" s="4"/>
      <c r="B185" s="4"/>
      <c r="C185" s="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3">
      <c r="A186" s="4"/>
      <c r="B186" s="4"/>
      <c r="C186" s="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3">
      <c r="A187" s="4"/>
      <c r="B187" s="4"/>
      <c r="C187" s="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3">
      <c r="A188" s="4"/>
      <c r="B188" s="4"/>
      <c r="C188" s="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3">
      <c r="A189" s="4"/>
      <c r="B189" s="4"/>
      <c r="C189" s="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3">
      <c r="A190" s="4"/>
      <c r="B190" s="4"/>
      <c r="C190" s="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3">
      <c r="A191" s="4"/>
      <c r="B191" s="4"/>
      <c r="C191" s="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3">
      <c r="A192" s="4"/>
      <c r="B192" s="4"/>
      <c r="C192" s="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3">
      <c r="A193" s="4"/>
      <c r="B193" s="4"/>
      <c r="C193" s="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3">
      <c r="A194" s="4"/>
      <c r="B194" s="4"/>
      <c r="C194" s="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3">
      <c r="A195" s="4"/>
      <c r="B195" s="4"/>
      <c r="C195" s="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3">
      <c r="A196" s="4"/>
      <c r="B196" s="4"/>
      <c r="C196" s="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3">
      <c r="A197" s="4"/>
      <c r="B197" s="4"/>
      <c r="C197" s="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3">
      <c r="A198" s="4"/>
      <c r="B198" s="4"/>
      <c r="C198" s="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3">
      <c r="A199" s="4"/>
      <c r="B199" s="4"/>
      <c r="C199" s="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3">
      <c r="A200" s="4"/>
      <c r="B200" s="4"/>
      <c r="C200" s="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3">
      <c r="A201" s="4"/>
      <c r="B201" s="4"/>
      <c r="C201" s="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3">
      <c r="A202" s="4"/>
      <c r="B202" s="4"/>
      <c r="C202" s="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3">
      <c r="A203" s="4"/>
      <c r="B203" s="4"/>
      <c r="C203" s="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3">
      <c r="A204" s="4"/>
      <c r="B204" s="4"/>
      <c r="C204" s="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3">
      <c r="A205" s="4"/>
      <c r="B205" s="4"/>
      <c r="C205" s="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3">
      <c r="A206" s="4"/>
      <c r="B206" s="4"/>
      <c r="C206" s="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3">
      <c r="A207" s="4"/>
      <c r="B207" s="4"/>
      <c r="C207" s="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3">
      <c r="A208" s="4"/>
      <c r="B208" s="4"/>
      <c r="C208" s="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3">
      <c r="A209" s="4"/>
      <c r="B209" s="4"/>
      <c r="C209" s="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3">
      <c r="A210" s="4"/>
      <c r="B210" s="4"/>
      <c r="C210" s="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3">
      <c r="A211" s="4"/>
      <c r="B211" s="4"/>
      <c r="C211" s="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3">
      <c r="A212" s="4"/>
      <c r="B212" s="4"/>
      <c r="C212" s="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3">
      <c r="A213" s="4"/>
      <c r="B213" s="4"/>
      <c r="C213" s="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3">
      <c r="A214" s="4"/>
      <c r="B214" s="4"/>
      <c r="C214" s="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3">
      <c r="A215" s="4"/>
      <c r="B215" s="4"/>
      <c r="C215" s="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3">
      <c r="A216" s="4"/>
      <c r="B216" s="4"/>
      <c r="C216" s="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3">
      <c r="A217" s="4"/>
      <c r="B217" s="4"/>
      <c r="C217" s="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3">
      <c r="A218" s="4"/>
      <c r="B218" s="4"/>
      <c r="C218" s="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3">
      <c r="A219" s="4"/>
      <c r="B219" s="4"/>
      <c r="C219" s="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3">
      <c r="A220" s="4"/>
      <c r="B220" s="4"/>
      <c r="C220" s="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3">
      <c r="A221" s="4"/>
      <c r="B221" s="4"/>
      <c r="C221" s="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3">
      <c r="A222" s="4"/>
      <c r="B222" s="4"/>
      <c r="C222" s="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3">
      <c r="A223" s="4"/>
      <c r="B223" s="4"/>
      <c r="C223" s="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3">
      <c r="A224" s="4"/>
      <c r="B224" s="4"/>
      <c r="C224" s="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3">
      <c r="A225" s="4"/>
      <c r="B225" s="4"/>
      <c r="C225" s="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3">
      <c r="A226" s="4"/>
      <c r="B226" s="4"/>
      <c r="C226" s="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3">
      <c r="A227" s="4"/>
      <c r="B227" s="4"/>
      <c r="C227" s="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3">
      <c r="A228" s="4"/>
      <c r="B228" s="4"/>
      <c r="C228" s="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3">
      <c r="A229" s="4"/>
      <c r="B229" s="4"/>
      <c r="C229" s="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3">
      <c r="A230" s="4"/>
      <c r="B230" s="4"/>
      <c r="C230" s="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3">
      <c r="A231" s="4"/>
      <c r="B231" s="4"/>
      <c r="C231" s="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3">
      <c r="A232" s="4"/>
      <c r="B232" s="4"/>
      <c r="C232" s="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3">
      <c r="A233" s="4"/>
      <c r="B233" s="4"/>
      <c r="C233" s="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3">
      <c r="A234" s="4"/>
      <c r="B234" s="4"/>
      <c r="C234" s="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3">
      <c r="A235" s="4"/>
      <c r="B235" s="4"/>
      <c r="C235" s="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3">
      <c r="A236" s="4"/>
      <c r="B236" s="4"/>
      <c r="C236" s="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3">
      <c r="A237" s="4"/>
      <c r="B237" s="4"/>
      <c r="C237" s="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3">
      <c r="A238" s="4"/>
      <c r="B238" s="4"/>
      <c r="C238" s="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3">
      <c r="A239" s="4"/>
      <c r="B239" s="4"/>
      <c r="C239" s="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3">
      <c r="A240" s="4"/>
      <c r="B240" s="4"/>
      <c r="C240" s="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3">
      <c r="A241" s="4"/>
      <c r="B241" s="4"/>
      <c r="C241" s="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3">
      <c r="A242" s="4"/>
      <c r="B242" s="4"/>
      <c r="C242" s="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3">
      <c r="A243" s="4"/>
      <c r="B243" s="4"/>
      <c r="C243" s="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3">
      <c r="A244" s="4"/>
      <c r="B244" s="4"/>
      <c r="C244" s="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3">
      <c r="A245" s="4"/>
      <c r="B245" s="4"/>
      <c r="C245" s="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3">
      <c r="A246" s="4"/>
      <c r="B246" s="4"/>
      <c r="C246" s="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3">
      <c r="A247" s="4"/>
      <c r="B247" s="4"/>
      <c r="C247" s="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3">
      <c r="A248" s="4"/>
      <c r="B248" s="4"/>
      <c r="C248" s="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3">
      <c r="A249" s="4"/>
      <c r="B249" s="4"/>
      <c r="C249" s="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3">
      <c r="A250" s="4"/>
      <c r="B250" s="4"/>
      <c r="C250" s="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3">
      <c r="A251" s="4"/>
      <c r="B251" s="4"/>
      <c r="C251" s="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3">
      <c r="A252" s="4"/>
      <c r="B252" s="4"/>
      <c r="C252" s="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3">
      <c r="A253" s="4"/>
      <c r="B253" s="4"/>
      <c r="C253" s="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3">
      <c r="A254" s="4"/>
      <c r="B254" s="4"/>
      <c r="C254" s="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3">
      <c r="A255" s="4"/>
      <c r="B255" s="4"/>
      <c r="C255" s="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3">
      <c r="A256" s="4"/>
      <c r="B256" s="4"/>
      <c r="C256" s="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3">
      <c r="A257" s="4"/>
      <c r="B257" s="4"/>
      <c r="C257" s="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3">
      <c r="A258" s="4"/>
      <c r="B258" s="4"/>
      <c r="C258" s="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3">
      <c r="A259" s="4"/>
      <c r="B259" s="4"/>
      <c r="C259" s="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3">
      <c r="A260" s="4"/>
      <c r="B260" s="4"/>
      <c r="C260" s="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3">
      <c r="A261" s="4"/>
      <c r="B261" s="4"/>
      <c r="C261" s="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3">
      <c r="A262" s="4"/>
      <c r="B262" s="4"/>
      <c r="C262" s="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3">
      <c r="A263" s="4"/>
      <c r="B263" s="4"/>
      <c r="C263" s="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3">
      <c r="A264" s="4"/>
      <c r="B264" s="4"/>
      <c r="C264" s="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3">
      <c r="A265" s="4"/>
      <c r="B265" s="4"/>
      <c r="C265" s="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3">
      <c r="A266" s="4"/>
      <c r="B266" s="4"/>
      <c r="C266" s="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3">
      <c r="A267" s="4"/>
      <c r="B267" s="4"/>
      <c r="C267" s="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3">
      <c r="A268" s="4"/>
      <c r="B268" s="4"/>
      <c r="C268" s="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3">
      <c r="A269" s="4"/>
      <c r="B269" s="4"/>
      <c r="C269" s="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3">
      <c r="A270" s="4"/>
      <c r="B270" s="4"/>
      <c r="C270" s="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3">
      <c r="A271" s="4"/>
      <c r="B271" s="4"/>
      <c r="C271" s="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3">
      <c r="A272" s="4"/>
      <c r="B272" s="4"/>
      <c r="C272" s="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3">
      <c r="A273" s="4"/>
      <c r="B273" s="4"/>
      <c r="C273" s="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3">
      <c r="A274" s="4"/>
      <c r="B274" s="4"/>
      <c r="C274" s="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3">
      <c r="A275" s="4"/>
      <c r="B275" s="4"/>
      <c r="C275" s="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3">
      <c r="A276" s="4"/>
      <c r="B276" s="4"/>
      <c r="C276" s="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3">
      <c r="A277" s="4"/>
      <c r="B277" s="4"/>
      <c r="C277" s="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3">
      <c r="A278" s="4"/>
      <c r="B278" s="4"/>
      <c r="C278" s="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3">
      <c r="A279" s="4"/>
      <c r="B279" s="4"/>
      <c r="C279" s="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3">
      <c r="A280" s="4"/>
      <c r="B280" s="4"/>
      <c r="C280" s="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3">
      <c r="A281" s="4"/>
      <c r="B281" s="4"/>
      <c r="C281" s="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3">
      <c r="A282" s="4"/>
      <c r="B282" s="4"/>
      <c r="C282" s="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3"/>
    <row r="284" spans="1:27" ht="15.75" customHeight="1" x14ac:dyDescent="0.3"/>
    <row r="285" spans="1:27" ht="15.75" customHeight="1" x14ac:dyDescent="0.3"/>
    <row r="286" spans="1:27" ht="15.75" customHeight="1" x14ac:dyDescent="0.3"/>
    <row r="287" spans="1:27" ht="15.75" customHeight="1" x14ac:dyDescent="0.3"/>
    <row r="288" spans="1:27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2">
    <mergeCell ref="A58:A62"/>
    <mergeCell ref="A63:A67"/>
    <mergeCell ref="A71:A75"/>
    <mergeCell ref="A78:A82"/>
    <mergeCell ref="B55:C55"/>
    <mergeCell ref="A56:C57"/>
    <mergeCell ref="B58:C58"/>
    <mergeCell ref="B59:C59"/>
    <mergeCell ref="B60:C60"/>
    <mergeCell ref="B61:C61"/>
    <mergeCell ref="B62:C62"/>
    <mergeCell ref="B79:C79"/>
    <mergeCell ref="B80:C80"/>
    <mergeCell ref="B81:C81"/>
    <mergeCell ref="B82:C82"/>
    <mergeCell ref="A49:C50"/>
    <mergeCell ref="A51:A55"/>
    <mergeCell ref="B51:C51"/>
    <mergeCell ref="B52:C52"/>
    <mergeCell ref="B53:C53"/>
    <mergeCell ref="B54:C54"/>
    <mergeCell ref="B41:C41"/>
    <mergeCell ref="A42:C43"/>
    <mergeCell ref="A44:A48"/>
    <mergeCell ref="B44:C44"/>
    <mergeCell ref="B45:C45"/>
    <mergeCell ref="B48:C48"/>
    <mergeCell ref="B73:C73"/>
    <mergeCell ref="B74:C74"/>
    <mergeCell ref="B75:C75"/>
    <mergeCell ref="A76:C77"/>
    <mergeCell ref="B78:C78"/>
    <mergeCell ref="B67:C67"/>
    <mergeCell ref="B68:C68"/>
    <mergeCell ref="A69:C70"/>
    <mergeCell ref="B71:C71"/>
    <mergeCell ref="B72:C72"/>
    <mergeCell ref="D29:P30"/>
    <mergeCell ref="B63:C63"/>
    <mergeCell ref="B64:C64"/>
    <mergeCell ref="B65:C65"/>
    <mergeCell ref="B66:C66"/>
    <mergeCell ref="B31:C31"/>
    <mergeCell ref="B32:C32"/>
    <mergeCell ref="B33:C33"/>
    <mergeCell ref="B34:C34"/>
    <mergeCell ref="B35:C35"/>
    <mergeCell ref="B36:C36"/>
    <mergeCell ref="B37:C37"/>
    <mergeCell ref="B46:C46"/>
    <mergeCell ref="B47:C47"/>
    <mergeCell ref="B38:C38"/>
    <mergeCell ref="B39:C39"/>
    <mergeCell ref="D42:P43"/>
    <mergeCell ref="D49:P50"/>
    <mergeCell ref="D56:P57"/>
    <mergeCell ref="D69:P70"/>
    <mergeCell ref="D76:P77"/>
    <mergeCell ref="D22:P23"/>
    <mergeCell ref="B11:C11"/>
    <mergeCell ref="B12:C12"/>
    <mergeCell ref="A13:C14"/>
    <mergeCell ref="B15:C15"/>
    <mergeCell ref="B16:C16"/>
    <mergeCell ref="B17:C17"/>
    <mergeCell ref="A18:C19"/>
    <mergeCell ref="A20:A21"/>
    <mergeCell ref="A24:A28"/>
    <mergeCell ref="A31:A35"/>
    <mergeCell ref="A36:A40"/>
    <mergeCell ref="B40:C40"/>
    <mergeCell ref="B20:C20"/>
    <mergeCell ref="B21:C21"/>
    <mergeCell ref="A22:C23"/>
    <mergeCell ref="B24:C24"/>
    <mergeCell ref="B25:C25"/>
    <mergeCell ref="B26:C26"/>
    <mergeCell ref="B27:C27"/>
    <mergeCell ref="B28:C28"/>
    <mergeCell ref="A29:C30"/>
    <mergeCell ref="B9:C9"/>
    <mergeCell ref="B10:C10"/>
    <mergeCell ref="D13:P14"/>
    <mergeCell ref="D18:P19"/>
    <mergeCell ref="A1:C5"/>
    <mergeCell ref="D1:P5"/>
    <mergeCell ref="B6:C6"/>
    <mergeCell ref="B7:C7"/>
    <mergeCell ref="D7:P7"/>
    <mergeCell ref="A8:A12"/>
    <mergeCell ref="B8:C8"/>
    <mergeCell ref="A15:A17"/>
  </mergeCells>
  <pageMargins left="0.70833333333333304" right="0.15" top="0.74791666666666701" bottom="0.7479166666666670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Summary Report</vt:lpstr>
      <vt:lpstr>challan_cess</vt:lpstr>
      <vt:lpstr>challan_cgst</vt:lpstr>
      <vt:lpstr>challan_igst</vt:lpstr>
      <vt:lpstr>challan_sgst</vt:lpstr>
      <vt:lpstr>closing_bal_itc_cess</vt:lpstr>
      <vt:lpstr>closing_bal_itc_cgst</vt:lpstr>
      <vt:lpstr>closing_bal_itc_igst</vt:lpstr>
      <vt:lpstr>closing_bal_itc_sgst</vt:lpstr>
      <vt:lpstr>intr_cess</vt:lpstr>
      <vt:lpstr>intr_cgst</vt:lpstr>
      <vt:lpstr>intr_igst</vt:lpstr>
      <vt:lpstr>intr_sgst</vt:lpstr>
      <vt:lpstr>inward_nil_gst</vt:lpstr>
      <vt:lpstr>inward_nongst</vt:lpstr>
      <vt:lpstr>itc_nonrev_cess</vt:lpstr>
      <vt:lpstr>itc_nonrev_cgst</vt:lpstr>
      <vt:lpstr>itc_nonrev_igst</vt:lpstr>
      <vt:lpstr>itc_nonrev_sgst</vt:lpstr>
      <vt:lpstr>itc_rev_cess</vt:lpstr>
      <vt:lpstr>itc_rev_cgst</vt:lpstr>
      <vt:lpstr>itc_rev_igst</vt:lpstr>
      <vt:lpstr>itc_rev_sgst</vt:lpstr>
      <vt:lpstr>ltfee_cess</vt:lpstr>
      <vt:lpstr>ltfee_cgst</vt:lpstr>
      <vt:lpstr>ltfee_igst</vt:lpstr>
      <vt:lpstr>ltfee_sgst</vt:lpstr>
      <vt:lpstr>opening_bal_itc_cess</vt:lpstr>
      <vt:lpstr>opening_bal_itc_cgst</vt:lpstr>
      <vt:lpstr>opening_bal_itc_igst</vt:lpstr>
      <vt:lpstr>opening_bal_itc_sgst</vt:lpstr>
      <vt:lpstr>sales_3.1a</vt:lpstr>
      <vt:lpstr>sales_3.1b</vt:lpstr>
      <vt:lpstr>sales_3.1c</vt:lpstr>
      <vt:lpstr>sales_3.1d</vt:lpstr>
      <vt:lpstr>sales_3.1e</vt:lpstr>
      <vt:lpstr>summary_banner</vt:lpstr>
      <vt:lpstr>tax_nonrev_cess</vt:lpstr>
      <vt:lpstr>tax_nonrev_cgst</vt:lpstr>
      <vt:lpstr>tax_nonrev_igst</vt:lpstr>
      <vt:lpstr>tax_nonrev_sgst</vt:lpstr>
      <vt:lpstr>tax_rev_cess</vt:lpstr>
      <vt:lpstr>tax_rev_cgst</vt:lpstr>
      <vt:lpstr>tax_rev_igst</vt:lpstr>
      <vt:lpstr>tax_rev_sgst</vt:lpstr>
      <vt:lpstr>tp_details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Shamit Jain</cp:lastModifiedBy>
  <dcterms:modified xsi:type="dcterms:W3CDTF">2026-09-04T16:14:44Z</dcterms:modified>
</cp:coreProperties>
</file>